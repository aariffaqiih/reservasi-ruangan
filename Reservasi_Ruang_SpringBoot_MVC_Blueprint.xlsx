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c5afa4852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Setting" sheetId="1" r:id="R5a390cea0bfc48af"/>
    <x:sheet xmlns:r="http://schemas.openxmlformats.org/officeDocument/2006/relationships" name="Dashboard" sheetId="2" r:id="Raa77f0e106ea412f"/>
    <x:sheet xmlns:r="http://schemas.openxmlformats.org/officeDocument/2006/relationships" name="Jobdesk_6_Orang" sheetId="3" r:id="Rbe04b2f348a94d9f"/>
    <x:sheet xmlns:r="http://schemas.openxmlformats.org/officeDocument/2006/relationships" name="Fitur_Per_Modul" sheetId="4" r:id="R2a053e8a6fa5407c"/>
    <x:sheet xmlns:r="http://schemas.openxmlformats.org/officeDocument/2006/relationships" name="Struktur_Direktori" sheetId="5" r:id="R1f66993093974d76"/>
    <x:sheet xmlns:r="http://schemas.openxmlformats.org/officeDocument/2006/relationships" name="OOP_Mapping" sheetId="6" r:id="R826474eb33a24cc4"/>
    <x:sheet xmlns:r="http://schemas.openxmlformats.org/officeDocument/2006/relationships" name="File_Backend_Starter" sheetId="7" r:id="R1e3c5c6873984f08"/>
    <x:sheet xmlns:r="http://schemas.openxmlformats.org/officeDocument/2006/relationships" name="API_Endpoint" sheetId="8" r:id="Rc6a032e066764754"/>
    <x:sheet xmlns:r="http://schemas.openxmlformats.org/officeDocument/2006/relationships" name="Frontend_MVC" sheetId="9" r:id="R8396a1c036a041c2"/>
    <x:sheet xmlns:r="http://schemas.openxmlformats.org/officeDocument/2006/relationships" name="POM_Properties" sheetId="10" r:id="R9253865f7865409c"/>
    <x:sheet xmlns:r="http://schemas.openxmlformats.org/officeDocument/2006/relationships" name="Checklist" sheetId="11" r:id="Rb39d8333dd3f4edf"/>
    <x:sheet xmlns:r="http://schemas.openxmlformats.org/officeDocument/2006/relationships" name="Sumber_Referensi" sheetId="12" r:id="R6a48efa36c2b40c0"/>
    <x:sheet xmlns:r="http://schemas.openxmlformats.org/officeDocument/2006/relationships" name="Starter_Aktual" sheetId="13" r:id="R65084a75653d48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9"/>
      <x:color rgb="FFFFFFFF"/>
      <x:name val="Consolas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color rgb="FF9C000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70AD47"/>
      </x:patternFill>
    </x:fill>
    <x:fill>
      <x:patternFill patternType="solid">
        <x:fgColor rgb="FF9E480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</x:fills>
  <x:borders count="3">
    <x:border/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6500"/>
      </x:font>
      <x:fill>
        <x:patternFill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a93a03c71f41d6" /><Relationship Type="http://schemas.openxmlformats.org/officeDocument/2006/relationships/theme" Target="/xl/theme/theme1.xml" Id="Ra7b7720a362f4d32" /><Relationship Type="http://schemas.openxmlformats.org/officeDocument/2006/relationships/sharedStrings" Target="/xl/sharedStrings.xml" Id="Rbf530b651d6c41e7" /><Relationship Type="http://schemas.openxmlformats.org/officeDocument/2006/relationships/worksheet" Target="/xl/worksheets/sheet1.xml" Id="R5a390cea0bfc48af" /><Relationship Type="http://schemas.openxmlformats.org/officeDocument/2006/relationships/worksheet" Target="/xl/worksheets/sheet2.xml" Id="Raa77f0e106ea412f" /><Relationship Type="http://schemas.openxmlformats.org/officeDocument/2006/relationships/worksheet" Target="/xl/worksheets/sheet3.xml" Id="Rbe04b2f348a94d9f" /><Relationship Type="http://schemas.openxmlformats.org/officeDocument/2006/relationships/worksheet" Target="/xl/worksheets/sheet4.xml" Id="R2a053e8a6fa5407c" /><Relationship Type="http://schemas.openxmlformats.org/officeDocument/2006/relationships/worksheet" Target="/xl/worksheets/sheet5.xml" Id="R1f66993093974d76" /><Relationship Type="http://schemas.openxmlformats.org/officeDocument/2006/relationships/worksheet" Target="/xl/worksheets/sheet6.xml" Id="R826474eb33a24cc4" /><Relationship Type="http://schemas.openxmlformats.org/officeDocument/2006/relationships/worksheet" Target="/xl/worksheets/sheet7.xml" Id="R1e3c5c6873984f08" /><Relationship Type="http://schemas.openxmlformats.org/officeDocument/2006/relationships/worksheet" Target="/xl/worksheets/sheet8.xml" Id="Rc6a032e066764754" /><Relationship Type="http://schemas.openxmlformats.org/officeDocument/2006/relationships/worksheet" Target="/xl/worksheets/sheet9.xml" Id="R8396a1c036a041c2" /><Relationship Type="http://schemas.openxmlformats.org/officeDocument/2006/relationships/worksheet" Target="/xl/worksheets/sheet10.xml" Id="R9253865f7865409c" /><Relationship Type="http://schemas.openxmlformats.org/officeDocument/2006/relationships/worksheet" Target="/xl/worksheets/sheet11.xml" Id="Rb39d8333dd3f4edf" /><Relationship Type="http://schemas.openxmlformats.org/officeDocument/2006/relationships/worksheet" Target="/xl/worksheets/sheet12.xml" Id="R6a48efa36c2b40c0" /><Relationship Type="http://schemas.openxmlformats.org/officeDocument/2006/relationships/worksheet" Target="/xl/worksheets/sheet13.xml" Id="R65084a75653d48e6" /></Relationships>
</file>

<file path=xl/tables/table1.xml><?xml version="1.0" encoding="utf-8"?>
<x:table xmlns:x="http://schemas.openxmlformats.org/spreadsheetml/2006/main" id="1" name="ReadmeSettingTbl" displayName="ReadmeSettingTbl" ref="A1:D15" headerRowCount="1">
  <x:tableColumns count="4">
    <x:tableColumn id="1" name="Bagian"/>
    <x:tableColumn id="2" name="Isi"/>
    <x:tableColumn id="3" name="Keputusan"/>
    <x:tableColumn id="4" name="Catatan Implementasi"/>
  </x:tableColumns>
  <x:tableStyleInfo name="TableStyleMedium2" showRowStripes="1"/>
</x:table>
</file>

<file path=xl/tables/table2.xml><?xml version="1.0" encoding="utf-8"?>
<x:table xmlns:x="http://schemas.openxmlformats.org/spreadsheetml/2006/main" id="2" name="DashboardTbl" displayName="DashboardTbl" ref="A1:C8" headerRowCount="1">
  <x:tableColumns count="3">
    <x:tableColumn id="1" name="Metrik"/>
    <x:tableColumn id="2" name="Rumus/Nilai"/>
    <x:tableColumn id="3" name="Keterangan"/>
  </x:tableColumns>
  <x:tableStyleInfo name="TableStyleMedium2" showRowStripes="1"/>
</x:table>
</file>

<file path=xl/tables/table3.xml><?xml version="1.0" encoding="utf-8"?>
<x:table xmlns:x="http://schemas.openxmlformats.org/spreadsheetml/2006/main" id="3" name="JobdeskTbl" displayName="JobdeskTbl" ref="A1:I7" headerRowCount="1">
  <x:tableColumns count="9">
    <x:tableColumn id="1" name="No"/>
    <x:tableColumn id="2" name="Nama Anggota"/>
    <x:tableColumn id="3" name="Modul Sesuai Blueprint"/>
    <x:tableColumn id="4" name="Fitur yang Harus Dibuat"/>
    <x:tableColumn id="5" name="File Backend Utama"/>
    <x:tableColumn id="6" name="File Frontend"/>
    <x:tableColumn id="7" name="Endpoint/Route Utama"/>
    <x:tableColumn id="8" name="Materi OOP yang Paling Terlihat"/>
    <x:tableColumn id="9" name="Output Minimal"/>
  </x:tableColumns>
  <x:tableStyleInfo name="TableStyleMedium2" showRowStripes="1"/>
</x:table>
</file>

<file path=xl/tables/table4.xml><?xml version="1.0" encoding="utf-8"?>
<x:table xmlns:x="http://schemas.openxmlformats.org/spreadsheetml/2006/main" id="4" name="FiturTbl" displayName="FiturTbl" ref="A1:J13" headerRowCount="1">
  <x:tableColumns count="10">
    <x:tableColumn id="1" name="Prioritas"/>
    <x:tableColumn id="2" name="Owner"/>
    <x:tableColumn id="3" name="Modul"/>
    <x:tableColumn id="4" name="Aktor"/>
    <x:tableColumn id="5" name="Fitur/Use Case"/>
    <x:tableColumn id="6" name="Backend Class"/>
    <x:tableColumn id="7" name="Endpoint/Route"/>
    <x:tableColumn id="8" name="Frontend"/>
    <x:tableColumn id="9" name="Status Awal"/>
    <x:tableColumn id="10" name="Catatan"/>
  </x:tableColumns>
  <x:tableStyleInfo name="TableStyleMedium2" showRowStripes="1"/>
</x:table>
</file>

<file path=xl/tables/table5.xml><?xml version="1.0" encoding="utf-8"?>
<x:table xmlns:x="http://schemas.openxmlformats.org/spreadsheetml/2006/main" id="5" name="StrukturTbl" displayName="StrukturTbl" ref="A1:E34" headerRowCount="1">
  <x:tableColumns count="5">
    <x:tableColumn id="1" name="Path"/>
    <x:tableColumn id="2" name="Jenis"/>
    <x:tableColumn id="3" name="Owner Utama"/>
    <x:tableColumn id="4" name="Isi/Fungsi"/>
    <x:tableColumn id="5" name="Catatan"/>
  </x:tableColumns>
  <x:tableStyleInfo name="TableStyleMedium2" showRowStripes="1"/>
</x:table>
</file>

<file path=xl/tables/table6.xml><?xml version="1.0" encoding="utf-8"?>
<x:table xmlns:x="http://schemas.openxmlformats.org/spreadsheetml/2006/main" id="6" name="OOPTbl" displayName="OOPTbl" ref="A1:E31" headerRowCount="1">
  <x:tableColumns count="5">
    <x:tableColumn id="1" name="Materi Java OOP"/>
    <x:tableColumn id="2" name="Implementasi di Project"/>
    <x:tableColumn id="3" name="Contoh File/Class"/>
    <x:tableColumn id="4" name="Starter/Contoh Singkat"/>
    <x:tableColumn id="5" name="Catatan"/>
  </x:tableColumns>
  <x:tableStyleInfo name="TableStyleMedium2" showRowStripes="1"/>
</x:table>
</file>

<file path=xl/tables/table7.xml><?xml version="1.0" encoding="utf-8"?>
<x:table xmlns:x="http://schemas.openxmlformats.org/spreadsheetml/2006/main" id="7" name="BackendStarterTbl" displayName="BackendStarterTbl" ref="A1:F15" headerRowCount="1">
  <x:tableColumns count="6">
    <x:tableColumn id="1" name="File"/>
    <x:tableColumn id="2" name="Class/Type"/>
    <x:tableColumn id="3" name="Field/Atribut Utama"/>
    <x:tableColumn id="4" name="Method Utama"/>
    <x:tableColumn id="5" name="Starter Code Ringkas"/>
    <x:tableColumn id="6" name="Catatan"/>
  </x:tableColumns>
  <x:tableStyleInfo name="TableStyleMedium2" showRowStripes="1"/>
</x:table>
</file>

<file path=xl/tables/table8.xml><?xml version="1.0" encoding="utf-8"?>
<x:table xmlns:x="http://schemas.openxmlformats.org/spreadsheetml/2006/main" id="8" name="ApiEndpointTbl" displayName="ApiEndpointTbl" ref="A1:H23" headerRowCount="1">
  <x:tableColumns count="8">
    <x:tableColumn id="1" name="Method"/>
    <x:tableColumn id="2" name="URL"/>
    <x:tableColumn id="3" name="Controller"/>
    <x:tableColumn id="4" name="Fitur"/>
    <x:tableColumn id="5" name="Request Body/Param"/>
    <x:tableColumn id="6" name="Response"/>
    <x:tableColumn id="7" name="Owner"/>
    <x:tableColumn id="8" name="Catatan"/>
  </x:tableColumns>
  <x:tableStyleInfo name="TableStyleMedium2" showRowStripes="1"/>
</x:table>
</file>

<file path=xl/tables/table9.xml><?xml version="1.0" encoding="utf-8"?>
<x:table xmlns:x="http://schemas.openxmlformats.org/spreadsheetml/2006/main" id="9" name="FrontendTbl" displayName="FrontendTbl" ref="A1:G11" headerRowCount="1">
  <x:tableColumns count="7">
    <x:tableColumn id="1" name="File HTML/Template"/>
    <x:tableColumn id="2" name="Route"/>
    <x:tableColumn id="3" name="Controller Method"/>
    <x:tableColumn id="4" name="Isi Minimal"/>
    <x:tableColumn id="5" name="Starter Code Ringkas"/>
    <x:tableColumn id="6" name="Owner"/>
    <x:tableColumn id="7" name="Catatan"/>
  </x:tableColumns>
  <x:tableStyleInfo name="TableStyleMedium2" showRowStripes="1"/>
</x:table>
</file>

<file path=xl/tables/table10.xml><?xml version="1.0" encoding="utf-8"?>
<x:table xmlns:x="http://schemas.openxmlformats.org/spreadsheetml/2006/main" id="10" name="PomPropsTbl" displayName="PomPropsTbl" ref="A1:D4" headerRowCount="1">
  <x:tableColumns count="4">
    <x:tableColumn id="1" name="File"/>
    <x:tableColumn id="2" name="Setting"/>
    <x:tableColumn id="3" name="Isi Starter"/>
    <x:tableColumn id="4" name="Catatan"/>
  </x:tableColumns>
  <x:tableStyleInfo name="TableStyleMedium2" showRowStripes="1"/>
</x:table>
</file>

<file path=xl/tables/table11.xml><?xml version="1.0" encoding="utf-8"?>
<x:table xmlns:x="http://schemas.openxmlformats.org/spreadsheetml/2006/main" id="11" name="ChecklistTbl" displayName="ChecklistTbl" ref="A1:H13" headerRowCount="1">
  <x:tableColumns count="8">
    <x:tableColumn id="1" name="ID"/>
    <x:tableColumn id="2" name="Task"/>
    <x:tableColumn id="3" name="Owner"/>
    <x:tableColumn id="4" name="Modul"/>
    <x:tableColumn id="5" name="Prioritas"/>
    <x:tableColumn id="6" name="Status"/>
    <x:tableColumn id="7" name="Bukti Selesai"/>
    <x:tableColumn id="8" name="Catatan Review"/>
  </x:tableColumns>
  <x:tableStyleInfo name="TableStyleMedium2" showRowStripes="1"/>
</x:table>
</file>

<file path=xl/tables/table12.xml><?xml version="1.0" encoding="utf-8"?>
<x:table xmlns:x="http://schemas.openxmlformats.org/spreadsheetml/2006/main" id="12" name="SourcesTbl" displayName="SourcesTbl" ref="A1:C7" headerRowCount="1">
  <x:tableColumns count="3">
    <x:tableColumn id="1" name="Sumber"/>
    <x:tableColumn id="2" name="Dipakai Untuk"/>
    <x:tableColumn id="3" name="Cata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3d101bd4c448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d4be9a01fe45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764e38c37f042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1ef2a79ada14c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992f4f9e5cf4a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4fd39223c194d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b5ecad52d9d48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4337ed71d3341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b3bcc2e29924b5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ddcdb87579d4b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ad099db922a46d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7cc416395d18408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36" hidden="0" customWidth="1"/>
    <x:col min="4" max="4" width="52" hidden="0" customWidth="1"/>
  </x:cols>
  <x:sheetData>
    <x:row r="1" ht="30" customHeight="1">
      <x:c r="A1" s="6" t="str">
        <x:v>Bagian</x:v>
      </x:c>
      <x:c r="B1" s="6" t="str">
        <x:v>Isi</x:v>
      </x:c>
      <x:c r="C1" s="6" t="str">
        <x:v>Keputusan</x:v>
      </x:c>
      <x:c r="D1" s="6" t="str">
        <x:v>Catatan Implementasi</x:v>
      </x:c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58" customHeight="1">
      <x:c r="A2" s="14" t="str">
        <x:v>Nama proyek</x:v>
      </x:c>
      <x:c r="B2" s="14" t="str">
        <x:v>Sistem Pengelolaan Reservasi Ruang Kelas Kampus di Luar Jam Perkuliahan</x:v>
      </x:c>
      <x:c r="C2" s="14" t="str">
        <x:v>Dipakai sebagai domain aplikasi</x:v>
      </x:c>
      <x:c r="D2" s="14" t="str">
        <x:v>Mengikuti blueprint: reservasi ruang, approval, access record, notifikasi.</x:v>
      </x:c>
    </x:row>
    <x:row r="3" ht="58" customHeight="1">
      <x:c r="A3" s="14" t="str">
        <x:v>Bahasa</x:v>
      </x:c>
      <x:c r="B3" s="14" t="str">
        <x:v>Java</x:v>
      </x:c>
      <x:c r="C3" s="14" t="str">
        <x:v>Wajib</x:v>
      </x:c>
      <x:c r="D3" s="14" t="str">
        <x:v>Gunakan Java OOP, Spring Boot MVC.</x:v>
      </x:c>
    </x:row>
    <x:row r="4" ht="58" customHeight="1">
      <x:c r="A4" s="14" t="str">
        <x:v>Framework</x:v>
      </x:c>
      <x:c r="B4" s="14" t="str">
        <x:v>Spring Boot</x:v>
      </x:c>
      <x:c r="C4" s="14" t="str">
        <x:v>Wajib</x:v>
      </x:c>
      <x:c r="D4" s="14" t="str">
        <x:v>Backend Java; frontend bebas. Starter ini memakai Thymeleaf sederhana agar MVC terlihat.</x:v>
      </x:c>
    </x:row>
    <x:row r="5" ht="58" customHeight="1">
      <x:c r="A5" s="14" t="str">
        <x:v>Arsitektur</x:v>
      </x:c>
      <x:c r="B5" s="14" t="str">
        <x:v>MVC + Service Layer</x:v>
      </x:c>
      <x:c r="C5" s="14" t="str">
        <x:v>Controller → Service → Entity/Model</x:v>
      </x:c>
      <x:c r="D5" s="14" t="str">
        <x:v>Controller -&gt; Service -&gt; Repository -&gt; H2; entity/model menjaga aturan domain dan enkapsulasi state.</x:v>
      </x:c>
    </x:row>
    <x:row r="6" ht="58" customHeight="1">
      <x:c r="A6" s="14" t="str">
        <x:v>Build tool</x:v>
      </x:c>
      <x:c r="B6" s="14" t="str">
        <x:v>Maven</x:v>
      </x:c>
      <x:c r="C6" s="14" t="str">
        <x:v>Wajib</x:v>
      </x:c>
      <x:c r="D6" s="14" t="str">
        <x:v>Bisa dibuat via Spring Initializr.</x:v>
      </x:c>
    </x:row>
    <x:row r="7" ht="58" customHeight="1">
      <x:c r="A7" s="14" t="str">
        <x:v>Group</x:v>
      </x:c>
      <x:c r="B7" s="14" t="str">
        <x:v>com.tup</x:v>
      </x:c>
      <x:c r="C7" s="14" t="str">
        <x:v>Wajib</x:v>
      </x:c>
      <x:c r="D7" s="14" t="str">
        <x:v>Sesuai request.</x:v>
      </x:c>
    </x:row>
    <x:row r="8" ht="58" customHeight="1">
      <x:c r="A8" s="14" t="str">
        <x:v>Artifact</x:v>
      </x:c>
      <x:c r="B8" s="14" t="str">
        <x:v>reservasi</x:v>
      </x:c>
      <x:c r="C8" s="14" t="str">
        <x:v>Wajib</x:v>
      </x:c>
      <x:c r="D8" s="14" t="str">
        <x:v>Sesuai request.</x:v>
      </x:c>
    </x:row>
    <x:row r="9" ht="58" customHeight="1">
      <x:c r="A9" s="14" t="str">
        <x:v>Base package</x:v>
      </x:c>
      <x:c r="B9" s="14" t="str">
        <x:v>com.tup.reservasi</x:v>
      </x:c>
      <x:c r="C9" s="14" t="str">
        <x:v>Wajib</x:v>
      </x:c>
      <x:c r="D9" s="14" t="str">
        <x:v>Semua package turunan memakai prefix ini.</x:v>
      </x:c>
    </x:row>
    <x:row r="10" ht="58" customHeight="1">
      <x:c r="A10" s="14" t="str">
        <x:v>Packaging</x:v>
      </x:c>
      <x:c r="B10" s="14" t="str">
        <x:v>jar</x:v>
      </x:c>
      <x:c r="C10" s="14" t="str">
        <x:v>Wajib</x:v>
      </x:c>
      <x:c r="D10" s="14" t="str">
        <x:v>Spring Boot executable jar.</x:v>
      </x:c>
    </x:row>
    <x:row r="11" ht="58" customHeight="1">
      <x:c r="A11" s="14" t="str">
        <x:v>Java version</x:v>
      </x:c>
      <x:c r="B11" s="14" t="str">
        <x:v>MariaDB/MySQL database reservasi_ruang</x:v>
      </x:c>
      <x:c r="C11" s="14" t="str">
        <x:v>Dipakai</x:v>
      </x:c>
      <x:c r="D11" s="14" t="str">
        <x:v>Database utama aktif; schema dan dummy data dikelola Flyway migration V1-V6. phpMyAdmin dipakai untuk administrasi visual.</x:v>
      </x:c>
    </x:row>
    <x:row r="12" ht="58" customHeight="1">
      <x:c r="A12" s="14" t="str">
        <x:v>Database</x:v>
      </x:c>
      <x:c r="B12" s="14" t="str">
        <x:v>spring-boot-starter-thymeleaf, validation, webmvc, jdbc, data-jpa, flyway, security, mysql-connector-j, devtools, test starters, h2 test</x:v>
      </x:c>
      <x:c r="C12" s="14" t="str">
        <x:v>Sesuai starter aktual</x:v>
      </x:c>
      <x:c r="D12" s="14" t="str">
        <x:v>JPA dipakai login starter; repository fitur final diarahkan ke Spring JDBC. H2 hanya untuk test in-memory MODE=MySQL.</x:v>
      </x:c>
    </x:row>
    <x:row r="13" ht="58" customHeight="1">
      <x:c r="A13" s="14" t="str">
        <x:v>Dependencies awal</x:v>
      </x:c>
      <x:c r="B13" s="14" t="str">
        <x:v>spring-boot-starter-thymeleaf, spring-boot-starter-validation, spring-boot-starter-webmvc, spring-boot-starter-jdbc, spring-boot-starter-security, h2, devtools, test starters</x:v>
      </x:c>
      <x:c r="C13" s="14" t="str">
        <x:v>Sesuai implementasi aktual</x:v>
      </x:c>
      <x:c r="D13" s="14" t="str">
        <x:v>H2 console dinonaktifkan; password disimpan dengan BCrypt; form POST dilindungi CSRF.</x:v>
      </x:c>
    </x:row>
    <x:row r="14" ht="58" customHeight="1">
      <x:c r="A14" s="14" t="str">
        <x:v>Frontend</x:v>
      </x:c>
      <x:c r="B14" s="14" t="str">
        <x:v>HTML/Thymeleaf/CSS sederhana</x:v>
      </x:c>
      <x:c r="C14" s="14" t="str">
        <x:v>Bebas</x:v>
      </x:c>
      <x:c r="D14" s="14" t="str">
        <x:v>Mengikuti contoh index.html, registrasi.html, dashboard.html.</x:v>
      </x:c>
    </x:row>
    <x:row r="15" ht="58" customHeight="1">
      <x:c r="A15" s="14" t="str">
        <x:v>Catatan kejujuran</x:v>
      </x:c>
      <x:c r="B15" s="14" t="str">
        <x:v>Encapsulation/Enkapsulasi dan Polymorphism/Polymorphisms adalah duplikasi istilah.</x:v>
      </x:c>
      <x:c r="C15" s="14" t="str">
        <x:v>Tetap dimasukkan di mapping OOP</x:v>
      </x:c>
      <x:c r="D15" s="14" t="str">
        <x:v>Tidak dibuat sebagai materi berbeda agar tidak menyesatkan.</x:v>
      </x:c>
    </x:row>
  </x:sheetData>
  <x:pageMargins left="0.7" right="0.7" top="0.75" bottom="0.75" header="0.3" footer="0.3"/>
  <x:tableParts count="1">
    <x:tablePart xmlns:r="http://schemas.openxmlformats.org/officeDocument/2006/relationships" r:id="Rd33d101bd4c448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60" hidden="0" customWidth="1"/>
  </x:cols>
  <x:sheetData>
    <x:row r="1" ht="30" customHeight="1">
      <x:c r="A1" s="6" t="str">
        <x:v>Metrik</x:v>
      </x:c>
      <x:c r="B1" s="6" t="str">
        <x:v>Rumus/Nilai</x:v>
      </x:c>
      <x:c r="C1" s="6" t="str">
        <x:v>Keterangan</x:v>
      </x:c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44" customHeight="1">
      <x:c r="A2" s="14" t="str">
        <x:v>Total anggota</x:v>
      </x:c>
      <x:c r="B2" s="14" t="n">
        <x:v>6</x:v>
      </x:c>
      <x:c r="C2" s="14" t="str">
        <x:v>Berdasarkan pembagian jobdesk pada gambar.</x:v>
      </x:c>
    </x:row>
    <x:row r="3" ht="44" customHeight="1">
      <x:c r="A3" s="14" t="str">
        <x:v>Total modul utama</x:v>
      </x:c>
      <x:c r="B3" s="14" t="n">
        <x:v>14</x:v>
      </x:c>
      <x:c r="C3" s="14" t="str">
        <x:v>Entity + service + interface + enum utama dari blueprint.</x:v>
      </x:c>
    </x:row>
    <x:row r="4" ht="44" customHeight="1">
      <x:c r="A4" s="14" t="str">
        <x:v>Total endpoint REST</x:v>
      </x:c>
      <x:c r="B4" s="14" t="n">
        <x:v>27</x:v>
      </x:c>
      <x:c r="C4" s="14" t="str">
        <x:v>Endpoint REST aktual pada controller API.</x:v>
      </x:c>
    </x:row>
    <x:row r="5" ht="44" customHeight="1">
      <x:c r="A5" s="14" t="str">
        <x:v>Total template frontend</x:v>
      </x:c>
      <x:c r="B5" s="14" t="str">
        <x:v>MariaDB/MySQL reservasi_ruang</x:v>
      </x:c>
      <x:c r="C5" s="14" t="str">
        <x:v>Persisten melalui Flyway migration; dikelola visual melalui phpMyAdmin.</x:v>
      </x:c>
    </x:row>
    <x:row r="6" ht="44" customHeight="1">
      <x:c r="A6" s="14" t="str">
        <x:v>Status database</x:v>
      </x:c>
      <x:c r="B6" s="14" t="str">
        <x:v>com.tup.reservasi</x:v>
      </x:c>
      <x:c r="C6" s="14" t="str">
        <x:v>Base package aplikasi.</x:v>
      </x:c>
    </x:row>
    <x:row r="7" ht="44" customHeight="1">
      <x:c r="A7" s="14" t="str">
        <x:v>Paket utama</x:v>
      </x:c>
      <x:c r="B7" s="14" t="str">
        <x:v>Controller -&gt; Service -&gt; Repository -&gt; MariaDB/MySQL</x:v>
      </x:c>
      <x:c r="C7" s="14" t="str">
        <x:v>Login starter aktif; modul bisnis masih placeholder untuk owner.</x:v>
      </x:c>
    </x:row>
    <x:row r="8" ht="44" customHeight="1">
      <x:c r="A8" s="14" t="str">
        <x:v>Arsitektur aktual</x:v>
      </x:c>
      <x:c r="B8" s="14" t="str">
        <x:v>Controller -&gt; Service -&gt; Repository -&gt; H2</x:v>
      </x:c>
      <x:c r="C8" s="14" t="str">
        <x:v>Entity menjaga aturan domain; repository menangani persistence.</x:v>
      </x:c>
    </x:row>
    <x:row r="10" ht="38" customHeight="1">
      <x:c r="A10" s="23" t="str">
        <x:v>Ringkasan Checklist</x:v>
      </x:c>
      <x:c r="B10" s="23" t="str">
        <x:v>Jumlah</x:v>
      </x:c>
      <x:c r="C10" s="23" t="str">
        <x:v>Keterangan</x:v>
      </x:c>
    </x:row>
    <x:row r="11" ht="38" customHeight="1">
      <x:c r="A11" s="12" t="str">
        <x:v>To Do</x:v>
      </x:c>
      <x:c r="B11" s="12" t="n">
        <x:v>0</x:v>
      </x:c>
      <x:c r="C11" s="12" t="str">
        <x:v>Jumlah task belum dikerjakan</x:v>
      </x:c>
    </x:row>
    <x:row r="12" ht="38" customHeight="1">
      <x:c r="A12" s="12" t="str">
        <x:v>Doing</x:v>
      </x:c>
      <x:c r="B12" s="12" t="n">
        <x:f>COUNTIF(Checklist!F:F,"Doing")</x:f>
        <x:v>0</x:v>
      </x:c>
      <x:c r="C12" s="12" t="str">
        <x:v>Jumlah task sedang dikerjakan</x:v>
      </x:c>
    </x:row>
    <x:row r="13" ht="38" customHeight="1">
      <x:c r="A13" s="12" t="str">
        <x:v>Done</x:v>
      </x:c>
      <x:c r="B13" s="12" t="n">
        <x:v>12</x:v>
      </x:c>
      <x:c r="C13" s="12" t="str">
        <x:v>Jumlah task selesai</x:v>
      </x:c>
    </x:row>
    <x:row r="14" ht="38" customHeight="1">
      <x:c r="A14" s="12" t="str">
        <x:v>Blocked</x:v>
      </x:c>
      <x:c r="B14" s="12" t="n">
        <x:f>COUNTIF(Checklist!F:F,"Blocked")</x:f>
        <x:v>0</x:v>
      </x:c>
      <x:c r="C14" s="12" t="str">
        <x:v>Jumlah task terhambat</x:v>
      </x:c>
    </x:row>
    <x:row r="17" ht="38" customHeight="1">
      <x:c r="A17" s="31" t="str">
        <x:v>Owner</x:v>
      </x:c>
      <x:c r="B17" s="31" t="str">
        <x:v>Jumlah Fitur</x:v>
      </x:c>
      <x:c r="C17" s="31" t="str">
        <x:v>Catatan</x:v>
      </x:c>
    </x:row>
    <x:row r="18" ht="38" customHeight="1">
      <x:c r="A18" s="12" t="str">
        <x:v>Ajda Mutiara Zahra</x:v>
      </x:c>
      <x:c r="B18" s="12" t="n">
        <x:f>COUNTIF(Fitur_Per_Modul!B:B,"Ajda Mutiara Zahra")</x:f>
        <x:v>2</x:v>
      </x:c>
      <x:c r="C18" s="12" t="str">
        <x:v>Otomatis dari Fitur_Per_Modul</x:v>
      </x:c>
    </x:row>
    <x:row r="19" ht="38" customHeight="1">
      <x:c r="A19" s="12" t="str">
        <x:v>Amelia Sofiana Makharomi</x:v>
      </x:c>
      <x:c r="B19" s="12" t="n">
        <x:f>COUNTIF(Fitur_Per_Modul!B:B,"Amelia Sofiana Makharomi")</x:f>
        <x:v>2</x:v>
      </x:c>
      <x:c r="C19" s="12" t="str">
        <x:v>Otomatis dari Fitur_Per_Modul</x:v>
      </x:c>
    </x:row>
    <x:row r="20" ht="38" customHeight="1">
      <x:c r="A20" s="12" t="str">
        <x:v>Tadzkirioh Aziziya Haaia</x:v>
      </x:c>
      <x:c r="B20" s="12" t="n">
        <x:f>COUNTIF(Fitur_Per_Modul!B:B,"Tadzkirioh Aziziya Haaia")</x:f>
        <x:v>2</x:v>
      </x:c>
      <x:c r="C20" s="12" t="str">
        <x:v>Otomatis dari Fitur_Per_Modul</x:v>
      </x:c>
    </x:row>
    <x:row r="21" ht="38" customHeight="1">
      <x:c r="A21" s="12" t="str">
        <x:v>Ali Abdul Fattah 'Alim Kautsar</x:v>
      </x:c>
      <x:c r="B21" s="12" t="n">
        <x:f>COUNTIF(Fitur_Per_Modul!B:B,"Ali Abdul Fattah 'Alim Kautsar")</x:f>
        <x:v>2</x:v>
      </x:c>
      <x:c r="C21" s="12" t="str">
        <x:v>Otomatis dari Fitur_Per_Modul</x:v>
      </x:c>
    </x:row>
    <x:row r="22" ht="38" customHeight="1">
      <x:c r="A22" s="12" t="str">
        <x:v>Atha Muyassar</x:v>
      </x:c>
      <x:c r="B22" s="12" t="n">
        <x:f>COUNTIF(Fitur_Per_Modul!B:B,"Atha Muyassar")</x:f>
        <x:v>1</x:v>
      </x:c>
      <x:c r="C22" s="12" t="str">
        <x:v>Otomatis dari Fitur_Per_Modul</x:v>
      </x:c>
    </x:row>
    <x:row r="23" ht="38" customHeight="1">
      <x:c r="A23" s="12" t="str">
        <x:v>'Aarif Rahmaan Jalaluddin Faqiih</x:v>
      </x:c>
      <x:c r="B23" s="12" t="n">
        <x:f>COUNTIF(Fitur_Per_Modul!B:B,"'Aarif Rahmaan Jalaluddin Faqiih")</x:f>
        <x:v>2</x:v>
      </x:c>
      <x:c r="C23" s="12" t="str">
        <x:v>Otomatis dari Fitur_Per_Modul</x:v>
      </x:c>
    </x:row>
    <x:row r="24" ht="38" customHeight="1">
      <x:c r="A24" s="12" t="str">
        <x:v>Semua</x:v>
      </x:c>
      <x:c r="B24" s="12" t="n">
        <x:f>COUNTIF(Fitur_Per_Modul!B:B,"Semua")</x:f>
        <x:v>1</x:v>
      </x:c>
      <x:c r="C24" s="12" t="str">
        <x:v>Otomatis dari Fitur_Per_Modul</x:v>
      </x:c>
    </x:row>
  </x:sheetData>
  <x:pageMargins left="0.7" right="0.7" top="0.75" bottom="0.75" header="0.3" footer="0.3"/>
  <x:tableParts count="1">
    <x:tablePart xmlns:r="http://schemas.openxmlformats.org/officeDocument/2006/relationships" r:id="R69d4be9a01fe458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46" hidden="0" customWidth="1"/>
    <x:col min="5" max="5" width="40" hidden="0" customWidth="1"/>
    <x:col min="6" max="6" width="30" hidden="0" customWidth="1"/>
    <x:col min="7" max="7" width="38" hidden="0" customWidth="1"/>
    <x:col min="8" max="8" width="42" hidden="0" customWidth="1"/>
    <x:col min="9" max="9" width="42" hidden="0" customWidth="1"/>
  </x:cols>
  <x:sheetData>
    <x:row r="1" ht="30" customHeight="1">
      <x:c r="A1" s="6" t="str">
        <x:v>No</x:v>
      </x:c>
      <x:c r="B1" s="6" t="str">
        <x:v>Nama Anggota</x:v>
      </x:c>
      <x:c r="C1" s="6" t="str">
        <x:v>Modul Sesuai Blueprint</x:v>
      </x:c>
      <x:c r="D1" s="6" t="str">
        <x:v>Fitur yang Harus Dibuat</x:v>
      </x:c>
      <x:c r="E1" s="6" t="str">
        <x:v>File Backend Utama</x:v>
      </x:c>
      <x:c r="F1" s="6" t="str">
        <x:v>File Frontend</x:v>
      </x:c>
      <x:c r="G1" s="6" t="str">
        <x:v>Endpoint/Route Utama</x:v>
      </x:c>
      <x:c r="H1" s="6" t="str">
        <x:v>Materi OOP yang Paling Terlihat</x:v>
      </x:c>
      <x:c r="I1" s="6" t="str">
        <x:v>Output Minimal</x:v>
      </x:c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110" customHeight="1">
      <x:c r="A2" s="14" t="n">
        <x:v>1</x:v>
      </x:c>
      <x:c r="B2" s="14" t="str">
        <x:v>Ajda Mutiara Zahra</x:v>
      </x:c>
      <x:c r="C2" s="14" t="str">
        <x:v>NotificationService, Notification</x:v>
      </x:c>
      <x:c r="D2" s="14" t="str">
        <x:v>Kirim notifikasi status; daftar notifikasi; tandai dibaca; catat waktu kirim.</x:v>
      </x:c>
      <x:c r="E2" s="14" t="str">
        <x:v>entity/Notification.java
service/NotificationService.java
controller/api/NotificationRestController.java</x:v>
      </x:c>
      <x:c r="F2" s="14" t="str">
        <x:v>templates/{role}/notifications.html</x:v>
      </x:c>
      <x:c r="G2" s="14" t="str">
        <x:v>GET /api/notifications
POST /api/notifications
PUT /api/notifications/{id}/read</x:v>
      </x:c>
      <x:c r="H2" s="14" t="str">
        <x:v>Interface Notifiable, Collection List&lt;Notification&gt;, Encapsulation, repository persistence</x:v>
      </x:c>
      <x:c r="I2" s="14" t="str">
        <x:v>CRUD notifikasi persisten melalui NotificationRepository.</x:v>
      </x:c>
    </x:row>
    <x:row r="3" ht="110" customHeight="1">
      <x:c r="A3" s="14" t="n">
        <x:v>2</x:v>
      </x:c>
      <x:c r="B3" s="14" t="str">
        <x:v>Amelia Sofiana Makharomi</x:v>
      </x:c>
      <x:c r="C3" s="14" t="str">
        <x:v>User, Mahasiswa</x:v>
      </x:c>
      <x:c r="D3" s="14" t="str">
        <x:v>Login/logout Spring Security; profil user; data mahasiswa; fitur mahasiswa ajukan/batalkan/lihat status.</x:v>
      </x:c>
      <x:c r="E3" s="14" t="str">
        <x:v>entity/User.java
entity/Mahasiswa.java
controller/api/UserRestController.java
controller/web/PageController.java</x:v>
      </x:c>
      <x:c r="F3" s="14" t="str">
        <x:v>templates/mahasiswa/index.html
templates/mahasiswa/registrasi.html
templates/mahasiswa/dashboard.html
templates/{role}/profile.html</x:v>
      </x:c>
      <x:c r="G3" s="14" t="str">
        <x:v>GET /
GET /registrasi
POST /registrasi
GET /api/mahasiswa
POST /api/mahasiswa</x:v>
      </x:c>
      <x:c r="H3" s="14" t="str">
        <x:v>Abstract class, Inheritance, Super, Constructor, this, Encapsulation</x:v>
      </x:c>
      <x:c r="I3" s="14" t="str">
        <x:v>Entity User/Mahasiswa + route halaman dasar.</x:v>
      </x:c>
    </x:row>
    <x:row r="4" ht="110" customHeight="1">
      <x:c r="A4" s="14" t="n">
        <x:v>3</x:v>
      </x:c>
      <x:c r="B4" s="14" t="str">
        <x:v>Tadzkirioh Aziziya Haaia</x:v>
      </x:c>
      <x:c r="C4" s="14" t="str">
        <x:v>AccessRecord, AccessControlService</x:v>
      </x:c>
      <x:c r="D4" s="14" t="str">
        <x:v>Check-in ruang; check-out ruang; catat kendala/pelanggaran; lihat riwayat akses.</x:v>
      </x:c>
      <x:c r="E4" s="14" t="str">
        <x:v>entity/AccessRecord.java
service/AccessControlService.java
controller/api/AccessRestController.java</x:v>
      </x:c>
      <x:c r="F4" s="14" t="str">
        <x:v>templates/satpam/access.html
templates/satpam/reservations.html</x:v>
      </x:c>
      <x:c r="G4" s="14" t="str">
        <x:v>POST /api/access/{reservationId}/check-in
PUT /api/access/{recordId}/check-out
POST /api/access/{recordId}/issue</x:v>
      </x:c>
      <x:c r="H4" s="14" t="str">
        <x:v>Association Reservation-AccessRecord, Exception, Try Catch, Throws, Finally</x:v>
      </x:c>
      <x:c r="I4" s="14" t="str">
        <x:v>Flow check-in/check-out pakai reservasi APPROVED.</x:v>
      </x:c>
    </x:row>
    <x:row r="5" ht="110" customHeight="1">
      <x:c r="A5" s="14" t="n">
        <x:v>4</x:v>
      </x:c>
      <x:c r="B5" s="14" t="str">
        <x:v>Ali Abdul Fattah 'Alim Kautsar</x:v>
      </x:c>
      <x:c r="C5" s="14" t="str">
        <x:v>ReservationService, Room</x:v>
      </x:c>
      <x:c r="D5" s="14" t="str">
        <x:v>Data ruang; cek ketersediaan; daftar ruang; service pembuatan/pembatalan reservasi.</x:v>
      </x:c>
      <x:c r="E5" s="14" t="str">
        <x:v>entity/Room.java
service/ReservationService.java
controller/api/RoomRestController.java</x:v>
      </x:c>
      <x:c r="F5" s="14" t="str">
        <x:v>templates/{mahasiswa|admin}/rooms.html
templates/mahasiswa/reservation-form.html</x:v>
      </x:c>
      <x:c r="G5" s="14" t="str">
        <x:v>GET /api/rooms
GET /api/rooms/{id}
POST /api/reservations
POST /api/reservations/{id}/cancel</x:v>
      </x:c>
      <x:c r="H5" s="14" t="str">
        <x:v>Collection, Method, Overloading Method, Static Method, repository persistence</x:v>
      </x:c>
      <x:c r="I5" s="14" t="str">
        <x:v>Room list + availability + create/cancel reservation.</x:v>
      </x:c>
    </x:row>
    <x:row r="6" ht="110" customHeight="1">
      <x:c r="A6" s="14" t="n">
        <x:v>5</x:v>
      </x:c>
      <x:c r="B6" s="14" t="str">
        <x:v>Atha Muyassar</x:v>
      </x:c>
      <x:c r="C6" s="14" t="str">
        <x:v>Admin, Notifiable</x:v>
      </x:c>
      <x:c r="D6" s="14" t="str">
        <x:v>Data admin; verifikasi permintaan; menerima notifikasi; halaman admin approval.</x:v>
      </x:c>
      <x:c r="E6" s="14" t="str">
        <x:v>entity/Admin.java
interface/Notifiable.java
controller/api/AdminRestController.java</x:v>
      </x:c>
      <x:c r="F6" s="14" t="str">
        <x:v>templates/admin/approval.html</x:v>
      </x:c>
      <x:c r="G6" s="14" t="str">
        <x:v>GET /api/admins
POST /api/admins
GET /admin/approval</x:v>
      </x:c>
      <x:c r="H6" s="14" t="str">
        <x:v>Interface, Overriding receiveNotification(), Polymorphism via Notifiable</x:v>
      </x:c>
      <x:c r="I6" s="14" t="str">
        <x:v>Admin entity + implement Notifiable + halaman approval.</x:v>
      </x:c>
    </x:row>
    <x:row r="7" ht="110" customHeight="1">
      <x:c r="A7" s="14" t="n">
        <x:v>6</x:v>
      </x:c>
      <x:c r="B7" s="14" t="str">
        <x:v>'Aarif Rahmaan Jalaluddin Faqiih</x:v>
      </x:c>
      <x:c r="C7" s="14" t="str">
        <x:v>Reservation, Approval, ApprovalService</x:v>
      </x:c>
      <x:c r="D7" s="14" t="str">
        <x:v>Entity reservasi; status reservasi; approval setuju/tolak/revisi; riwayat approval.</x:v>
      </x:c>
      <x:c r="E7" s="14" t="str">
        <x:v>entity/Reservation.java
entity/Approval.java
enums/ReservationStatus.java
enums/ApprovalDecision.java
service/ApprovalService.java
controller/api/ApprovalRestController.java</x:v>
      </x:c>
      <x:c r="F7" s="14" t="str">
        <x:v>templates/{mahasiswa|admin}/reservation-history.html</x:v>
      </x:c>
      <x:c r="G7" s="14" t="str">
        <x:v>GET /api/reservations
GET /api/reservations/{id}
POST /api/approvals/{reservationId}/approve
POST /api/approvals/{reservationId}/reject
POST /api/approvals/{reservationId}/revision</x:v>
      </x:c>
      <x:c r="H7" s="14" t="str">
        <x:v>Enum, Association Reservation-Approval, Encapsulation, Polymorphism, Exception</x:v>
      </x:c>
      <x:c r="I7" s="14" t="str">
        <x:v>Status flow tervalidasi: PENDING -&gt; APPROVED/REJECTED; revision disimpan sebagai REVISION_REQUESTED dan status REJECTED.</x:v>
      </x:c>
    </x:row>
  </x:sheetData>
  <x:pageMargins left="0.7" right="0.7" top="0.75" bottom="0.75" header="0.3" footer="0.3"/>
  <x:tableParts count="1">
    <x:tablePart xmlns:r="http://schemas.openxmlformats.org/officeDocument/2006/relationships" r:id="R3764e38c37f0427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22" hidden="0" customWidth="1"/>
    <x:col min="5" max="5" width="45" hidden="0" customWidth="1"/>
    <x:col min="6" max="6" width="38" hidden="0" customWidth="1"/>
    <x:col min="7" max="7" width="48" hidden="0" customWidth="1"/>
    <x:col min="8" max="8" width="28" hidden="0" customWidth="1"/>
    <x:col min="9" max="9" width="16" hidden="0" customWidth="1"/>
    <x:col min="10" max="10" width="52" hidden="0" customWidth="1"/>
  </x:cols>
  <x:sheetData>
    <x:row r="1" ht="30" customHeight="1">
      <x:c r="A1" s="6" t="str">
        <x:v>Prioritas</x:v>
      </x:c>
      <x:c r="B1" s="6" t="str">
        <x:v>Owner</x:v>
      </x:c>
      <x:c r="C1" s="6" t="str">
        <x:v>Modul</x:v>
      </x:c>
      <x:c r="D1" s="6" t="str">
        <x:v>Aktor</x:v>
      </x:c>
      <x:c r="E1" s="6" t="str">
        <x:v>Fitur/Use Case</x:v>
      </x:c>
      <x:c r="F1" s="6" t="str">
        <x:v>Backend Class</x:v>
      </x:c>
      <x:c r="G1" s="6" t="str">
        <x:v>Endpoint/Route</x:v>
      </x:c>
      <x:c r="H1" s="6" t="str">
        <x:v>Frontend</x:v>
      </x:c>
      <x:c r="I1" s="6" t="str">
        <x:v>Status Awal</x:v>
      </x:c>
      <x:c r="J1" s="6" t="str">
        <x:v>Catatan</x:v>
      </x:c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74" customHeight="1">
      <x:c r="A2" s="14" t="str">
        <x:v>P0</x:v>
      </x:c>
      <x:c r="B2" s="14" t="str">
        <x:v>Amelia Sofiana Makharomi</x:v>
      </x:c>
      <x:c r="C2" s="14" t="str">
        <x:v>User/Mahasiswa</x:v>
      </x:c>
      <x:c r="D2" s="14" t="str">
        <x:v>Mahasiswa</x:v>
      </x:c>
      <x:c r="E2" s="14" t="str">
        <x:v>Registrasi/login Spring Security, ubah profil, lihat profil.</x:v>
      </x:c>
      <x:c r="F2" s="14" t="str">
        <x:v>User, Mahasiswa, UserRestController</x:v>
      </x:c>
      <x:c r="G2" s="14" t="str">
        <x:v>GET/POST /registrasi; GET /api/mahasiswa; PUT /api/mahasiswa/{id}</x:v>
      </x:c>
      <x:c r="H2" s="14" t="str">
        <x:v>index.html, registrasi.html, dashboard.html</x:v>
      </x:c>
      <x:c r="I2" s="14" t="str">
        <x:v>To Do - Scaffold Ready</x:v>
      </x:c>
      <x:c r="J2" s="14" t="str">
        <x:v>Field private; password BCrypt; data user persisten lewat UserRepository.</x:v>
      </x:c>
    </x:row>
    <x:row r="3" ht="74" customHeight="1">
      <x:c r="A3" s="14" t="str">
        <x:v>P0</x:v>
      </x:c>
      <x:c r="B3" s="14" t="str">
        <x:v>Ali Abdul Fattah 'Alim Kautsar</x:v>
      </x:c>
      <x:c r="C3" s="14" t="str">
        <x:v>Room</x:v>
      </x:c>
      <x:c r="D3" s="14" t="str">
        <x:v>Mahasiswa/Admin</x:v>
      </x:c>
      <x:c r="E3" s="14" t="str">
        <x:v>List ruang, detail ruang, aktif/nonaktif ruang.</x:v>
      </x:c>
      <x:c r="F3" s="14" t="str">
        <x:v>Room, RoomRestController</x:v>
      </x:c>
      <x:c r="G3" s="14" t="str">
        <x:v>GET /api/rooms; GET /api/rooms/{roomId}; POST /api/rooms</x:v>
      </x:c>
      <x:c r="H3" s="14" t="str">
        <x:v>rooms.html</x:v>
      </x:c>
      <x:c r="I3" s="14" t="str">
        <x:v>To Do - Scaffold Ready</x:v>
      </x:c>
      <x:c r="J3" s="14" t="str">
        <x:v>Data ruang persisten lewat RoomRepository.</x:v>
      </x:c>
    </x:row>
    <x:row r="4" ht="74" customHeight="1">
      <x:c r="A4" s="14" t="str">
        <x:v>P0</x:v>
      </x:c>
      <x:c r="B4" s="14" t="str">
        <x:v>Ali Abdul Fattah 'Alim Kautsar</x:v>
      </x:c>
      <x:c r="C4" s="14" t="str">
        <x:v>ReservationService</x:v>
      </x:c>
      <x:c r="D4" s="14" t="str">
        <x:v>Mahasiswa</x:v>
      </x:c>
      <x:c r="E4" s="14" t="str">
        <x:v>Cek ketersediaan ruang dan ajukan reservasi.</x:v>
      </x:c>
      <x:c r="F4" s="14" t="str">
        <x:v>ReservationService, ReservationRestController</x:v>
      </x:c>
      <x:c r="G4" s="14" t="str">
        <x:v>POST /api/reservations; GET /api/reservations/availability</x:v>
      </x:c>
      <x:c r="H4" s="14" t="str">
        <x:v>reservation-form.html</x:v>
      </x:c>
      <x:c r="I4" s="14" t="str">
        <x:v>To Do - Scaffold Ready</x:v>
      </x:c>
      <x:c r="J4" s="14" t="str">
        <x:v>Cek ketersediaan dan validasi data pemohon dilakukan sebelum insert database.</x:v>
      </x:c>
    </x:row>
    <x:row r="5" ht="74" customHeight="1">
      <x:c r="A5" s="14" t="str">
        <x:v>P0</x:v>
      </x:c>
      <x:c r="B5" s="14" t="str">
        <x:v>'Aarif Rahmaan Jalaluddin Faqiih</x:v>
      </x:c>
      <x:c r="C5" s="14" t="str">
        <x:v>Reservation</x:v>
      </x:c>
      <x:c r="D5" s="14" t="str">
        <x:v>Mahasiswa/Admin/Satpam</x:v>
      </x:c>
      <x:c r="E5" s="14" t="str">
        <x:v>Status flow: DRAFT, PENDING, APPROVED, REJECTED, ACTIVE, COMPLETED, CANCELLED.</x:v>
      </x:c>
      <x:c r="F5" s="14" t="str">
        <x:v>Reservation, ReservationStatus</x:v>
      </x:c>
      <x:c r="G5" s="14" t="str">
        <x:v>GET /api/reservations; GET /api/reservations/{id}</x:v>
      </x:c>
      <x:c r="H5" s="14" t="str">
        <x:v>reservation-history.html</x:v>
      </x:c>
      <x:c r="I5" s="14" t="str">
        <x:v>To Do - Scaffold Ready</x:v>
      </x:c>
      <x:c r="J5" s="14" t="str">
        <x:v>Status ada di Reservation dan setiap transisi divalidasi oleh entity.</x:v>
      </x:c>
    </x:row>
    <x:row r="6" ht="74" customHeight="1">
      <x:c r="A6" s="14" t="str">
        <x:v>P0</x:v>
      </x:c>
      <x:c r="B6" s="14" t="str">
        <x:v>'Aarif Rahmaan Jalaluddin Faqiih</x:v>
      </x:c>
      <x:c r="C6" s="14" t="str">
        <x:v>ApprovalService</x:v>
      </x:c>
      <x:c r="D6" s="14" t="str">
        <x:v>Admin</x:v>
      </x:c>
      <x:c r="E6" s="14" t="str">
        <x:v>Setujui, tolak, minta revisi reservasi.</x:v>
      </x:c>
      <x:c r="F6" s="14" t="str">
        <x:v>Approval, ApprovalService, ApprovalRestController</x:v>
      </x:c>
      <x:c r="G6" s="14" t="str">
        <x:v>POST /api/approvals/{reservationId}/approve|reject|revision</x:v>
      </x:c>
      <x:c r="H6" s="14" t="str">
        <x:v>admin/approval.html</x:v>
      </x:c>
      <x:c r="I6" s="14" t="str">
        <x:v>To Do - Scaffold Ready</x:v>
      </x:c>
      <x:c r="J6" s="14" t="str">
        <x:v>Revision menghasilkan ApprovalDecision.REVISION_REQUESTED dan status reservasi REJECTED.</x:v>
      </x:c>
    </x:row>
    <x:row r="7" ht="74" customHeight="1">
      <x:c r="A7" s="14" t="str">
        <x:v>P1</x:v>
      </x:c>
      <x:c r="B7" s="14" t="str">
        <x:v>Tadzkirioh Aziziya Haaia</x:v>
      </x:c>
      <x:c r="C7" s="14" t="str">
        <x:v>AccessControlService</x:v>
      </x:c>
      <x:c r="D7" s="14" t="str">
        <x:v>Satpam</x:v>
      </x:c>
      <x:c r="E7" s="14" t="str">
        <x:v>Konfirmasi check-in dan check-out.</x:v>
      </x:c>
      <x:c r="F7" s="14" t="str">
        <x:v>AccessRecord, AccessControlService, AccessRestController</x:v>
      </x:c>
      <x:c r="G7" s="14" t="str">
        <x:v>POST /api/access/{reservationId}/check-in; PUT /api/access/{recordId}/check-out</x:v>
      </x:c>
      <x:c r="H7" s="14" t="str">
        <x:v>satpam/access.html</x:v>
      </x:c>
      <x:c r="I7" s="14" t="str">
        <x:v>To Do - Scaffold Ready</x:v>
      </x:c>
      <x:c r="J7" s="14" t="str">
        <x:v>Akses hanya jika reservasi APPROVED.</x:v>
      </x:c>
    </x:row>
    <x:row r="8" ht="74" customHeight="1">
      <x:c r="A8" s="14" t="str">
        <x:v>P1</x:v>
      </x:c>
      <x:c r="B8" s="14" t="str">
        <x:v>Tadzkirioh Aziziya Haaia</x:v>
      </x:c>
      <x:c r="C8" s="14" t="str">
        <x:v>AccessRecord</x:v>
      </x:c>
      <x:c r="D8" s="14" t="str">
        <x:v>Satpam</x:v>
      </x:c>
      <x:c r="E8" s="14" t="str">
        <x:v>Catat kendala/pelanggaran saat penggunaan ruang.</x:v>
      </x:c>
      <x:c r="F8" s="14" t="str">
        <x:v>AccessRecord</x:v>
      </x:c>
      <x:c r="G8" s="14" t="str">
        <x:v>POST /api/access/{recordId}/issue</x:v>
      </x:c>
      <x:c r="H8" s="14" t="str">
        <x:v>satpam/access.html</x:v>
      </x:c>
      <x:c r="I8" s="14" t="str">
        <x:v>To Do - Scaffold Ready</x:v>
      </x:c>
      <x:c r="J8" s="14" t="str">
        <x:v>Extend: hanya terjadi kalau ada masalah.</x:v>
      </x:c>
    </x:row>
    <x:row r="9" ht="74" customHeight="1">
      <x:c r="A9" s="14" t="str">
        <x:v>P1</x:v>
      </x:c>
      <x:c r="B9" s="14" t="str">
        <x:v>Ajda Mutiara Zahra</x:v>
      </x:c>
      <x:c r="C9" s="14" t="str">
        <x:v>NotificationService</x:v>
      </x:c>
      <x:c r="D9" s="14" t="str">
        <x:v>Mahasiswa/Admin/Satpam</x:v>
      </x:c>
      <x:c r="E9" s="14" t="str">
        <x:v>Kirim notifikasi saat status penting berubah.</x:v>
      </x:c>
      <x:c r="F9" s="14" t="str">
        <x:v>Notification, NotificationService</x:v>
      </x:c>
      <x:c r="G9" s="14" t="str">
        <x:v>POST /api/notifications</x:v>
      </x:c>
      <x:c r="H9" s="14" t="str">
        <x:v>notifications.html</x:v>
      </x:c>
      <x:c r="I9" s="14" t="str">
        <x:v>To Do - Scaffold Ready</x:v>
      </x:c>
      <x:c r="J9" s="14" t="str">
        <x:v>Penerima bertipe Notifiable agar polymorphism terlihat.</x:v>
      </x:c>
    </x:row>
    <x:row r="10" ht="74" customHeight="1">
      <x:c r="A10" s="14" t="str">
        <x:v>P1</x:v>
      </x:c>
      <x:c r="B10" s="14" t="str">
        <x:v>Ajda Mutiara Zahra</x:v>
      </x:c>
      <x:c r="C10" s="14" t="str">
        <x:v>Notification</x:v>
      </x:c>
      <x:c r="D10" s="14" t="str">
        <x:v>Mahasiswa/Admin/Satpam</x:v>
      </x:c>
      <x:c r="E10" s="14" t="str">
        <x:v>List notifikasi dan tandai dibaca.</x:v>
      </x:c>
      <x:c r="F10" s="14" t="str">
        <x:v>NotificationRestController</x:v>
      </x:c>
      <x:c r="G10" s="14" t="str">
        <x:v>GET /api/notifications; PUT /api/notifications/{id}/read</x:v>
      </x:c>
      <x:c r="H10" s="14" t="str">
        <x:v>notifications.html</x:v>
      </x:c>
      <x:c r="I10" s="14" t="str">
        <x:v>To Do - Scaffold Ready</x:v>
      </x:c>
      <x:c r="J10" s="14" t="str">
        <x:v>Field: pesan, statusBaca, createdAt.</x:v>
      </x:c>
    </x:row>
    <x:row r="11" ht="74" customHeight="1">
      <x:c r="A11" s="14" t="str">
        <x:v>P1</x:v>
      </x:c>
      <x:c r="B11" s="14" t="str">
        <x:v>Atha Muyassar</x:v>
      </x:c>
      <x:c r="C11" s="14" t="str">
        <x:v>Admin/Notifiable</x:v>
      </x:c>
      <x:c r="D11" s="14" t="str">
        <x:v>Admin</x:v>
      </x:c>
      <x:c r="E11" s="14" t="str">
        <x:v>Data admin, verifikasi request, menerima notifikasi.</x:v>
      </x:c>
      <x:c r="F11" s="14" t="str">
        <x:v>Admin, Notifiable, AdminRestController</x:v>
      </x:c>
      <x:c r="G11" s="14" t="str">
        <x:v>GET/POST /api/admins</x:v>
      </x:c>
      <x:c r="H11" s="14" t="str">
        <x:v>admin/approval.html</x:v>
      </x:c>
      <x:c r="I11" s="14" t="str">
        <x:v>To Do - Scaffold Ready</x:v>
      </x:c>
      <x:c r="J11" s="14" t="str">
        <x:v>Method receiveNotification di-override.</x:v>
      </x:c>
    </x:row>
    <x:row r="12" ht="74" customHeight="1">
      <x:c r="A12" s="14" t="str">
        <x:v>P2</x:v>
      </x:c>
      <x:c r="B12" s="14" t="str">
        <x:v>Amelia Sofiana Makharomi</x:v>
      </x:c>
      <x:c r="C12" s="14" t="str">
        <x:v>Dashboard MVC</x:v>
      </x:c>
      <x:c r="D12" s="14" t="str">
        <x:v>Semua aktor</x:v>
      </x:c>
      <x:c r="E12" s="14" t="str">
        <x:v>Halaman dashboard, navigasi ke reservasi, approval, access, notification.</x:v>
      </x:c>
      <x:c r="F12" s="14" t="str">
        <x:v>PageController</x:v>
      </x:c>
      <x:c r="G12" s="14" t="str">
        <x:v>GET /dashboard</x:v>
      </x:c>
      <x:c r="H12" s="14" t="str">
        <x:v>dashboard.html</x:v>
      </x:c>
      <x:c r="I12" s="14" t="str">
        <x:v>To Do - Scaffold Ready</x:v>
      </x:c>
      <x:c r="J12" s="14" t="str">
        <x:v>Route MVC dipisah per halaman dan per role.</x:v>
      </x:c>
    </x:row>
    <x:row r="13" ht="74" customHeight="1">
      <x:c r="A13" s="14" t="str">
        <x:v>P2</x:v>
      </x:c>
      <x:c r="B13" s="14" t="str">
        <x:v>Semua</x:v>
      </x:c>
      <x:c r="C13" s="14" t="str">
        <x:v>Exception handling</x:v>
      </x:c>
      <x:c r="D13" s="14" t="str">
        <x:v>Semua aktor</x:v>
      </x:c>
      <x:c r="E13" s="14" t="str">
        <x:v>Pesan error untuk room tidak tersedia, reservasi tidak ditemukan, status tidak valid.</x:v>
      </x:c>
      <x:c r="F13" s="14" t="str">
        <x:v>ReservationException, GlobalExceptionHandler</x:v>
      </x:c>
      <x:c r="G13" s="14" t="str">
        <x:v>Semua endpoint</x:v>
      </x:c>
      <x:c r="H13" s="14" t="str">
        <x:v>error.html opsional</x:v>
      </x:c>
      <x:c r="I13" s="14" t="str">
        <x:v>To Do - Scaffold Ready</x:v>
      </x:c>
      <x:c r="J13" s="14" t="str">
        <x:v>Global handler API dan try-catch halaman MVC tersedia.</x:v>
      </x:c>
    </x:row>
  </x:sheetData>
  <x:pageMargins left="0.7" right="0.7" top="0.75" bottom="0.75" header="0.3" footer="0.3"/>
  <x:tableParts count="1">
    <x:tablePart xmlns:r="http://schemas.openxmlformats.org/officeDocument/2006/relationships" r:id="R31ef2a79ada14c9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22" hidden="0" customWidth="1"/>
    <x:col min="3" max="3" width="20" hidden="0" customWidth="1"/>
    <x:col min="4" max="4" width="62" hidden="0" customWidth="1"/>
    <x:col min="5" max="5" width="45" hidden="0" customWidth="1"/>
  </x:cols>
  <x:sheetData>
    <x:row r="1" ht="30" customHeight="1">
      <x:c r="A1" s="6" t="str">
        <x:v>Path</x:v>
      </x:c>
      <x:c r="B1" s="6" t="str">
        <x:v>Jenis</x:v>
      </x:c>
      <x:c r="C1" s="6" t="str">
        <x:v>Owner Utama</x:v>
      </x:c>
      <x:c r="D1" s="6" t="str">
        <x:v>Isi/Fungsi</x:v>
      </x:c>
      <x:c r="E1" s="6" t="str">
        <x:v>Catatan</x:v>
      </x:c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64" customHeight="1">
      <x:c r="A2" s="14" t="str">
        <x:v>pom.xml</x:v>
      </x:c>
      <x:c r="B2" s="14" t="str">
        <x:v>Config Maven</x:v>
      </x:c>
      <x:c r="C2" s="14" t="str">
        <x:v>Semua</x:v>
      </x:c>
      <x:c r="D2" s="14" t="str">
        <x:v>Metadata Maven, Java 17, dependency WebMVC/Thymeleaf/Validation/JDBC/JPA/Flyway/Security/MySQL/DevTools/Test.</x:v>
      </x:c>
      <x:c r="E2" s="14" t="str">
        <x:v>JPA dipakai login starter; repository fitur final memakai Spring JDBC.</x:v>
      </x:c>
    </x:row>
    <x:row r="3" ht="64" customHeight="1">
      <x:c r="A3" s="14" t="str">
        <x:v>src/main/resources/application.properties</x:v>
      </x:c>
      <x:c r="B3" s="14" t="str">
        <x:v>Config Spring Boot</x:v>
      </x:c>
      <x:c r="C3" s="14" t="str">
        <x:v>Semua</x:v>
      </x:c>
      <x:c r="D3" s="14" t="str">
        <x:v>Nama aplikasi, port, datasource MariaDB/MySQL, validasi schema, dan akun starter.</x:v>
      </x:c>
      <x:c r="E3" s="14" t="str">
        <x:v>H2 hanya dipakai melalui application-test.properties.</x:v>
      </x:c>
    </x:row>
    <x:row r="4" ht="64" customHeight="1">
      <x:c r="A4" s="14" t="str">
        <x:v>src/main/java/com/tup/reservasi/ReservasiApplication.java</x:v>
      </x:c>
      <x:c r="B4" s="14" t="str">
        <x:v>Main app</x:v>
      </x:c>
      <x:c r="C4" s="14" t="str">
        <x:v>Semua</x:v>
      </x:c>
      <x:c r="D4" s="14" t="str">
        <x:v>Class utama dengan @SpringBootApplication dan main method.</x:v>
      </x:c>
      <x:c r="E4" s="14" t="str">
        <x:v>Entry point aplikasi.</x:v>
      </x:c>
    </x:row>
    <x:row r="5" ht="64" customHeight="1">
      <x:c r="A5" s="14" t="str">
        <x:v>src/main/java/com/tup/reservasi/entity/User.java</x:v>
      </x:c>
      <x:c r="B5" s="14" t="str">
        <x:v>Entity/abstract class</x:v>
      </x:c>
      <x:c r="C5" s="14" t="str">
        <x:v>Amelia</x:v>
      </x:c>
      <x:c r="D5" s="14" t="str">
        <x:v>Field user umum: id, nama, email, noHp, passwordHash. Method login/logout/ubahProfil.</x:v>
      </x:c>
      <x:c r="E5" s="14" t="str">
        <x:v>abstract; parent Mahasiswa/Admin/Satpam.</x:v>
      </x:c>
    </x:row>
    <x:row r="6" ht="64" customHeight="1">
      <x:c r="A6" s="14" t="str">
        <x:v>src/main/java/com/tup/reservasi/entity/Mahasiswa.java</x:v>
      </x:c>
      <x:c r="B6" s="14" t="str">
        <x:v>Entity</x:v>
      </x:c>
      <x:c r="C6" s="14" t="str">
        <x:v>Amelia</x:v>
      </x:c>
      <x:c r="D6" s="14" t="str">
        <x:v>Field nim, prodi, angkatan. Method ajukanReservasi, batalkanReservasi, receiveNotification.</x:v>
      </x:c>
      <x:c r="E6" s="14" t="str">
        <x:v>extends User implements Notifiable.</x:v>
      </x:c>
    </x:row>
    <x:row r="7" ht="64" customHeight="1">
      <x:c r="A7" s="14" t="str">
        <x:v>src/main/java/com/tup/reservasi/entity/Admin.java</x:v>
      </x:c>
      <x:c r="B7" s="14" t="str">
        <x:v>Entity</x:v>
      </x:c>
      <x:c r="C7" s="14" t="str">
        <x:v>Atha</x:v>
      </x:c>
      <x:c r="D7" s="14" t="str">
        <x:v>Field unitKerja. Method verifikasi/setujui/tolak/revisi/receiveNotification.</x:v>
      </x:c>
      <x:c r="E7" s="14" t="str">
        <x:v>extends User implements Notifiable.</x:v>
      </x:c>
    </x:row>
    <x:row r="8" ht="64" customHeight="1">
      <x:c r="A8" s="14" t="str">
        <x:v>src/main/java/com/tup/reservasi/entity/Satpam.java</x:v>
      </x:c>
      <x:c r="B8" s="14" t="str">
        <x:v>Entity</x:v>
      </x:c>
      <x:c r="C8" s="14" t="str">
        <x:v>Tadzkirioh</x:v>
      </x:c>
      <x:c r="D8" s="14" t="str">
        <x:v>Field shift, posJaga. Method konfirmasi check-in/out dan catat kendala.</x:v>
      </x:c>
      <x:c r="E8" s="14" t="str">
        <x:v>extends User implements Notifiable.</x:v>
      </x:c>
    </x:row>
    <x:row r="9" ht="64" customHeight="1">
      <x:c r="A9" s="14" t="str">
        <x:v>src/main/java/com/tup/reservasi/entity/Room.java</x:v>
      </x:c>
      <x:c r="B9" s="14" t="str">
        <x:v>Entity</x:v>
      </x:c>
      <x:c r="C9" s="14" t="str">
        <x:v>Ali</x:v>
      </x:c>
      <x:c r="D9" s="14" t="str">
        <x:v>Field roomId, namaRuang, gedung, kapasitas, statusAktif. Method aktifkan/nonaktifkan/getInfoRuang.</x:v>
      </x:c>
      <x:c r="E9" s="14" t="str">
        <x:v>Cek availability di ReservationService, bukan di Room.</x:v>
      </x:c>
    </x:row>
    <x:row r="10" ht="64" customHeight="1">
      <x:c r="A10" s="14" t="str">
        <x:v>src/main/java/com/tup/reservasi/entity/Reservation.java</x:v>
      </x:c>
      <x:c r="B10" s="14" t="str">
        <x:v>Entity</x:v>
      </x:c>
      <x:c r="C10" s="14" t="str">
        <x:v>'Aarif</x:v>
      </x:c>
      <x:c r="D10" s="14" t="str">
        <x:v>Field reservationId, mahasiswa, room, tanggal, jamMulai, jamSelesai, tujuan, status, createdAt, cancelledAt.</x:v>
      </x:c>
      <x:c r="E10" s="14" t="str">
        <x:v>Status utama proses; transisi divalidasi entity dan hydration memakai Reservation.restore(...).</x:v>
      </x:c>
    </x:row>
    <x:row r="11" ht="64" customHeight="1">
      <x:c r="A11" s="14" t="str">
        <x:v>src/main/java/com/tup/reservasi/entity/Approval.java</x:v>
      </x:c>
      <x:c r="B11" s="14" t="str">
        <x:v>Entity</x:v>
      </x:c>
      <x:c r="C11" s="14" t="str">
        <x:v>'Aarif</x:v>
      </x:c>
      <x:c r="D11" s="14" t="str">
        <x:v>Field approvalId, reservation, admin, keputusan, catatan, reviewedAt.</x:v>
      </x:c>
      <x:c r="E11" s="14" t="str">
        <x:v>Keputusan approval, bukan status reservasi.</x:v>
      </x:c>
    </x:row>
    <x:row r="12" ht="64" customHeight="1">
      <x:c r="A12" s="14" t="str">
        <x:v>src/main/java/com/tup/reservasi/entity/AccessRecord.java</x:v>
      </x:c>
      <x:c r="B12" s="14" t="str">
        <x:v>Entity</x:v>
      </x:c>
      <x:c r="C12" s="14" t="str">
        <x:v>Tadzkirioh</x:v>
      </x:c>
      <x:c r="D12" s="14" t="str">
        <x:v>Field recordId, reservation, satpam, checkInTime, checkOutTime, catatanPelanggaran.</x:v>
      </x:c>
      <x:c r="E12" s="14" t="str">
        <x:v>Riwayat akses ruang.</x:v>
      </x:c>
    </x:row>
    <x:row r="13" ht="64" customHeight="1">
      <x:c r="A13" s="14" t="str">
        <x:v>src/main/java/com/tup/reservasi/entity/Notification.java</x:v>
      </x:c>
      <x:c r="B13" s="14" t="str">
        <x:v>Entity</x:v>
      </x:c>
      <x:c r="C13" s="14" t="str">
        <x:v>Ajda</x:v>
      </x:c>
      <x:c r="D13" s="14" t="str">
        <x:v>Field notificationId, pesan, statusBaca, createdAt. Method kirim/tandaiDibaca.</x:v>
      </x:c>
      <x:c r="E13" s="14" t="str">
        <x:v>Notifikasi status penting.</x:v>
      </x:c>
    </x:row>
    <x:row r="14" ht="64" customHeight="1">
      <x:c r="A14" s="14" t="str">
        <x:v>src/main/java/com/tup/reservasi/interface_/Notifiable.java</x:v>
      </x:c>
      <x:c r="B14" s="14" t="str">
        <x:v>Interface</x:v>
      </x:c>
      <x:c r="C14" s="14" t="str">
        <x:v>Atha</x:v>
      </x:c>
      <x:c r="D14" s="14" t="str">
        <x:v>Method receiveNotification(Notification notification).</x:v>
      </x:c>
      <x:c r="E14" s="14" t="str">
        <x:v>Pakai folder interface_ karena interface adalah keyword Java.</x:v>
      </x:c>
    </x:row>
    <x:row r="15" ht="64" customHeight="1">
      <x:c r="A15" s="14" t="str">
        <x:v>src/main/java/com/tup/reservasi/enums/ReservationStatus.java</x:v>
      </x:c>
      <x:c r="B15" s="14" t="str">
        <x:v>Enum</x:v>
      </x:c>
      <x:c r="C15" s="14" t="str">
        <x:v>'Aarif</x:v>
      </x:c>
      <x:c r="D15" s="14" t="str">
        <x:v>DRAFT, PENDING, APPROVED, REJECTED, ACTIVE, COMPLETED, CANCELLED.</x:v>
      </x:c>
      <x:c r="E15" s="14" t="str">
        <x:v>Alur status reservasi.</x:v>
      </x:c>
    </x:row>
    <x:row r="16" ht="64" customHeight="1">
      <x:c r="A16" s="14" t="str">
        <x:v>src/main/java/com/tup/reservasi/enums/ApprovalDecision.java</x:v>
      </x:c>
      <x:c r="B16" s="14" t="str">
        <x:v>Enum</x:v>
      </x:c>
      <x:c r="C16" s="14" t="str">
        <x:v>'Aarif</x:v>
      </x:c>
      <x:c r="D16" s="14" t="str">
        <x:v>APPROVED, REJECTED, REVISION_REQUESTED.</x:v>
      </x:c>
      <x:c r="E16" s="14" t="str">
        <x:v>Keputusan approval.</x:v>
      </x:c>
    </x:row>
    <x:row r="17" ht="64" customHeight="1">
      <x:c r="A17" s="14" t="str">
        <x:v>src/main/java/com/tup/reservasi/service/ReservationService.java</x:v>
      </x:c>
      <x:c r="B17" s="14" t="str">
        <x:v>Service</x:v>
      </x:c>
      <x:c r="C17" s="14" t="str">
        <x:v>Ali</x:v>
      </x:c>
      <x:c r="D17" s="14" t="str">
        <x:v>Create reservation, cek availability, cancel, history.</x:v>
      </x:c>
      <x:c r="E17" s="14" t="str">
        <x:v>Memakai ReservationRepository dan RoomRepository; tidak memakai dummy static List.</x:v>
      </x:c>
    </x:row>
    <x:row r="18" ht="64" customHeight="1">
      <x:c r="A18" s="14" t="str">
        <x:v>src/main/java/com/tup/reservasi/service/ApprovalService.java</x:v>
      </x:c>
      <x:c r="B18" s="14" t="str">
        <x:v>Service</x:v>
      </x:c>
      <x:c r="C18" s="14" t="str">
        <x:v>'Aarif</x:v>
      </x:c>
      <x:c r="D18" s="14" t="str">
        <x:v>Verify, approve, reject, request revision; simpan keputusan melalui ApprovalRepository.</x:v>
      </x:c>
      <x:c r="E18" s="14" t="str">
        <x:v>Ubah status Reservation + buat Approval.</x:v>
      </x:c>
    </x:row>
    <x:row r="19" ht="64" customHeight="1">
      <x:c r="A19" s="14" t="str">
        <x:v>src/main/java/com/tup/reservasi/service/AccessControlService.java</x:v>
      </x:c>
      <x:c r="B19" s="14" t="str">
        <x:v>Service</x:v>
      </x:c>
      <x:c r="C19" s="14" t="str">
        <x:v>Tadzkirioh</x:v>
      </x:c>
      <x:c r="D19" s="14" t="str">
        <x:v>checkIn, checkOut, reportIssue; simpan melalui AccessRecordRepository.</x:v>
      </x:c>
      <x:c r="E19" s="14" t="str">
        <x:v>Validasi status reservasi.</x:v>
      </x:c>
    </x:row>
    <x:row r="20" ht="64" customHeight="1">
      <x:c r="A20" s="14" t="str">
        <x:v>src/main/java/com/tup/reservasi/service/NotificationService.java</x:v>
      </x:c>
      <x:c r="B20" s="14" t="str">
        <x:v>Service</x:v>
      </x:c>
      <x:c r="C20" s="14" t="str">
        <x:v>Ajda</x:v>
      </x:c>
      <x:c r="D20" s="14" t="str">
        <x:v>sendNotification, sendStatusUpdate, getNotifications; simpan melalui NotificationRepository.</x:v>
      </x:c>
      <x:c r="E20" s="14" t="str">
        <x:v>Terima Notifiable sebagai parameter.</x:v>
      </x:c>
    </x:row>
    <x:row r="21" ht="64" customHeight="1">
      <x:c r="A21" s="14" t="str">
        <x:v>src/main/java/com/tup/reservasi/controller/api/*RestController.java</x:v>
      </x:c>
      <x:c r="B21" s="14" t="str">
        <x:v>REST Controller</x:v>
      </x:c>
      <x:c r="C21" s="14" t="str">
        <x:v>Masing-masing owner</x:v>
      </x:c>
      <x:c r="D21" s="14" t="str">
        <x:v>Endpoint JSON untuk entity/service.</x:v>
      </x:c>
      <x:c r="E21" s="14" t="str">
        <x:v>Ikuti pola StudentRestController.java.</x:v>
      </x:c>
    </x:row>
    <x:row r="22" ht="64" customHeight="1">
      <x:c r="A22" s="14" t="str">
        <x:v>src/main/java/com/tup/reservasi/controller/web/*PageController.java</x:v>
      </x:c>
      <x:c r="B22" s="14" t="str">
        <x:v>MVC Controller</x:v>
      </x:c>
      <x:c r="C22" s="14" t="str">
        <x:v>Amelia/Semua</x:v>
      </x:c>
      <x:c r="D22" s="14" t="str">
        <x:v>Route HTML dipisah berdasarkan halaman dan role.</x:v>
      </x:c>
      <x:c r="E22" s="14" t="str">
        <x:v>Controller MVC aktual tidak lagi memakai satu PageController.</x:v>
      </x:c>
    </x:row>
    <x:row r="23" ht="64" customHeight="1">
      <x:c r="A23" s="14" t="str">
        <x:v>src/main/java/com/tup/reservasi/exception/ReservationException.java</x:v>
      </x:c>
      <x:c r="B23" s="14" t="str">
        <x:v>Exception</x:v>
      </x:c>
      <x:c r="C23" s="14" t="str">
        <x:v>Semua</x:v>
      </x:c>
      <x:c r="D23" s="14" t="str">
        <x:v>Custom exception untuk error business rule.</x:v>
      </x:c>
      <x:c r="E23" s="14" t="str">
        <x:v>Dipakai dengan throws/try-catch.</x:v>
      </x:c>
    </x:row>
    <x:row r="24" ht="64" customHeight="1">
      <x:c r="A24" s="14" t="str">
        <x:v>src/main/java/com/tup/reservasi/util/IdGenerator.java</x:v>
      </x:c>
      <x:c r="B24" s="14" t="str">
        <x:v>Utility</x:v>
      </x:c>
      <x:c r="C24" s="14" t="str">
        <x:v>Semua</x:v>
      </x:c>
      <x:c r="D24" s="14" t="str">
        <x:v>Static method generateId(prefix).</x:v>
      </x:c>
      <x:c r="E24" s="14" t="str">
        <x:v>Contoh static method.</x:v>
      </x:c>
    </x:row>
    <x:row r="25" ht="64" customHeight="1">
      <x:c r="A25" s="14" t="str">
        <x:v>src/main/resources/templates/index.html</x:v>
      </x:c>
      <x:c r="B25" s="14" t="str">
        <x:v>Frontend</x:v>
      </x:c>
      <x:c r="C25" s="14" t="str">
        <x:v>Amelia</x:v>
      </x:c>
      <x:c r="D25" s="14" t="str">
        <x:v>Home dan navigasi.</x:v>
      </x:c>
      <x:c r="E25" s="14" t="str">
        <x:v>Dari contoh index.html.</x:v>
      </x:c>
    </x:row>
    <x:row r="26" ht="64" customHeight="1">
      <x:c r="A26" s="14" t="str">
        <x:v>src/main/resources/templates/registrasi.html</x:v>
      </x:c>
      <x:c r="B26" s="14" t="str">
        <x:v>Frontend</x:v>
      </x:c>
      <x:c r="C26" s="14" t="str">
        <x:v>Amelia</x:v>
      </x:c>
      <x:c r="D26" s="14" t="str">
        <x:v>Form registrasi mahasiswa.</x:v>
      </x:c>
      <x:c r="E26" s="14" t="str">
        <x:v>Dari contoh registrasi.html.</x:v>
      </x:c>
    </x:row>
    <x:row r="27" ht="64" customHeight="1">
      <x:c r="A27" s="14" t="str">
        <x:v>src/main/resources/templates/dashboard.html</x:v>
      </x:c>
      <x:c r="B27" s="14" t="str">
        <x:v>Frontend</x:v>
      </x:c>
      <x:c r="C27" s="14" t="str">
        <x:v>Amelia/Semua</x:v>
      </x:c>
      <x:c r="D27" s="14" t="str">
        <x:v>Dashboard link ke modul.</x:v>
      </x:c>
      <x:c r="E27" s="14" t="str">
        <x:v>Dari contoh dashboard.html.</x:v>
      </x:c>
    </x:row>
    <x:row r="28" ht="64" customHeight="1">
      <x:c r="A28" s="14" t="str">
        <x:v>src/main/resources/templates/mahasiswa/index.html</x:v>
      </x:c>
      <x:c r="B28" s="14" t="str">
        <x:v>Frontend</x:v>
      </x:c>
      <x:c r="C28" s="14" t="str">
        <x:v>Amelia</x:v>
      </x:c>
      <x:c r="D28" s="14" t="str">
        <x:v>Home mahasiswa dan navigasi.</x:v>
      </x:c>
      <x:c r="E28" s="14" t="str">
        <x:v>Template role-specific.</x:v>
      </x:c>
    </x:row>
    <x:row r="29" ht="64" customHeight="1">
      <x:c r="A29" s="14" t="str">
        <x:v>src/main/resources/templates/mahasiswa/registrasi.html</x:v>
      </x:c>
      <x:c r="B29" s="14" t="str">
        <x:v>Frontend</x:v>
      </x:c>
      <x:c r="C29" s="14" t="str">
        <x:v>Amelia</x:v>
      </x:c>
      <x:c r="D29" s="14" t="str">
        <x:v>Form registrasi mahasiswa.</x:v>
      </x:c>
      <x:c r="E29" s="14" t="str">
        <x:v>Template role-specific.</x:v>
      </x:c>
    </x:row>
    <x:row r="30" ht="64" customHeight="1">
      <x:c r="A30" s="14" t="str">
        <x:v>src/main/resources/templates/{mahasiswa|admin|satpam}/dashboard.html</x:v>
      </x:c>
      <x:c r="B30" s="14" t="str">
        <x:v>Frontend</x:v>
      </x:c>
      <x:c r="C30" s="14" t="str">
        <x:v>Masing-masing role</x:v>
      </x:c>
      <x:c r="D30" s="14" t="str">
        <x:v>Dashboard sederhana sesuai role.</x:v>
      </x:c>
      <x:c r="E30" s="14" t="str">
        <x:v>Dashboard starter aktif.</x:v>
      </x:c>
    </x:row>
    <x:row r="31" ht="64" customHeight="1">
      <x:c r="A31" s="14" t="str">
        <x:v>src/main/resources/templates/{mahasiswa|admin}/rooms.html</x:v>
      </x:c>
      <x:c r="B31" s="14" t="str">
        <x:v>Frontend</x:v>
      </x:c>
      <x:c r="C31" s="14" t="str">
        <x:v>Ali</x:v>
      </x:c>
      <x:c r="D31" s="14" t="str">
        <x:v>List dan pengelolaan ruang.</x:v>
      </x:c>
      <x:c r="E31" s="14" t="str">
        <x:v>Dipisah sesuai role.</x:v>
      </x:c>
    </x:row>
    <x:row r="32" ht="64" customHeight="1">
      <x:c r="A32" s="14" t="str">
        <x:v>src/main/resources/templates/mahasiswa/reservation-form.html</x:v>
      </x:c>
      <x:c r="B32" s="14" t="str">
        <x:v>Frontend</x:v>
      </x:c>
      <x:c r="C32" s="14" t="str">
        <x:v>Ali/'Aarif</x:v>
      </x:c>
      <x:c r="D32" s="14" t="str">
        <x:v>Form ajukan reservasi.</x:v>
      </x:c>
      <x:c r="E32" s="14" t="str">
        <x:v>Mahasiswa mengajukan reservasi.</x:v>
      </x:c>
    </x:row>
    <x:row r="33" ht="64" customHeight="1">
      <x:c r="A33" s="14" t="str">
        <x:v>src/main/resources/templates/{mahasiswa|admin}/reservation-history.html</x:v>
      </x:c>
      <x:c r="B33" s="14" t="str">
        <x:v>Frontend</x:v>
      </x:c>
      <x:c r="C33" s="14" t="str">
        <x:v>'Aarif/Atha</x:v>
      </x:c>
      <x:c r="D33" s="14" t="str">
        <x:v>Status dan riwayat reservasi.</x:v>
      </x:c>
      <x:c r="E33" s="14" t="str">
        <x:v>Dipisah sesuai role.</x:v>
      </x:c>
    </x:row>
    <x:row r="34" ht="64" customHeight="1">
      <x:c r="A34" s="14" t="str">
        <x:v>src/main/resources/templates/admin/approval.html</x:v>
      </x:c>
      <x:c r="B34" s="14" t="str">
        <x:v>Frontend</x:v>
      </x:c>
      <x:c r="C34" s="14" t="str">
        <x:v>Atha/'Aarif</x:v>
      </x:c>
      <x:c r="D34" s="14" t="str">
        <x:v>Halaman approval admin.</x:v>
      </x:c>
      <x:c r="E34" s="14" t="str">
        <x:v>Setuju/tolak/revisi.</x:v>
      </x:c>
    </x:row>
    <x:row r="35">
      <x:c r="A35" t="str">
        <x:v>src/main/resources/templates/satpam/access.html dan satpam/reservations.html</x:v>
      </x:c>
      <x:c r="B35" t="str">
        <x:v>Frontend</x:v>
      </x:c>
      <x:c r="C35" t="str">
        <x:v>Tadzkirioh</x:v>
      </x:c>
      <x:c r="D35" t="str">
        <x:v>Halaman check-in/out, kendala, dan daftar reservasi siap proses.</x:v>
      </x:c>
      <x:c r="E35" t="str">
        <x:v>Satpam flow.</x:v>
      </x:c>
    </x:row>
    <x:row r="36">
      <x:c r="A36" t="str">
        <x:v>src/main/resources/templates/{mahasiswa|admin|satpam}/notifications.html</x:v>
      </x:c>
      <x:c r="B36" t="str">
        <x:v>Frontend</x:v>
      </x:c>
      <x:c r="C36" t="str">
        <x:v>Ajda</x:v>
      </x:c>
      <x:c r="D36" t="str">
        <x:v>Daftar notifikasi per role.</x:v>
      </x:c>
      <x:c r="E36" t="str">
        <x:v>Tandai dibaca.</x:v>
      </x:c>
    </x:row>
    <x:row r="37">
      <x:c r="A37" t="str">
        <x:v>src/main/resources/templates/{mahasiswa|admin|satpam}/profile.html</x:v>
      </x:c>
      <x:c r="B37" t="str">
        <x:v>Frontend</x:v>
      </x:c>
      <x:c r="C37" t="str">
        <x:v>Amelia</x:v>
      </x:c>
      <x:c r="D37" t="str">
        <x:v>Halaman profil pengguna per role.</x:v>
      </x:c>
      <x:c r="E37" t="str">
        <x:v>Scaffold tambahan agar profil tidak butuh file baru.</x:v>
      </x:c>
    </x:row>
    <x:row r="38">
      <x:c r="A38" t="str">
        <x:v>src/main/resources/templates/error.html dan templates/fragments/*.html</x:v>
      </x:c>
      <x:c r="B38" t="str">
        <x:v>Frontend shared</x:v>
      </x:c>
      <x:c r="C38" t="str">
        <x:v>Semua</x:v>
      </x:c>
      <x:c r="D38" t="str">
        <x:v>Template error, head, dan navigasi bersama.</x:v>
      </x:c>
      <x:c r="E38" t="str">
        <x:v>Scaffold tambahan bersama.</x:v>
      </x:c>
    </x:row>
    <x:row r="39">
      <x:c r="A39" t="str">
        <x:v>src/main/resources/static/css/style.css dan static/js/**</x:v>
      </x:c>
      <x:c r="B39" t="str">
        <x:v>Frontend static</x:v>
      </x:c>
      <x:c r="C39" t="str">
        <x:v>Masing-masing owner</x:v>
      </x:c>
      <x:c r="D39" t="str">
        <x:v>CSS bersama dan slot JavaScript per halaman.</x:v>
      </x:c>
      <x:c r="E39" t="str">
        <x:v>JavaScript bersifat opsional tetapi file sudah tersedia.</x:v>
      </x:c>
    </x:row>
    <x:row r="40">
      <x:c r="A40" t="str">
        <x:v>src/main/java/com/tup/reservasi/dto/*.java</x:v>
      </x:c>
      <x:c r="B40" t="str">
        <x:v>DTO</x:v>
      </x:c>
      <x:c r="C40" t="str">
        <x:v>Masing-masing owner</x:v>
      </x:c>
      <x:c r="D40" t="str">
        <x:v>Request DTO registrasi, profil, ruang, reservasi, approval, akses, notifikasi, dan respons error.</x:v>
      </x:c>
      <x:c r="E40" t="str">
        <x:v>Isi validasi saat implementasi endpoint.</x:v>
      </x:c>
    </x:row>
    <x:row r="41">
      <x:c r="A41" t="str">
        <x:v>src/main/java/com/tup/reservasi/controller/web/ProfilePageController.java</x:v>
      </x:c>
      <x:c r="B41" t="str">
        <x:v>MVC Controller</x:v>
      </x:c>
      <x:c r="C41" t="str">
        <x:v>Amelia</x:v>
      </x:c>
      <x:c r="D41" t="str">
        <x:v>Route profil pengguna.</x:v>
      </x:c>
      <x:c r="E41" t="str">
        <x:v>Scaffold tambahan.</x:v>
      </x:c>
    </x:row>
    <x:row r="42">
      <x:c r="A42" t="str">
        <x:v>src/main/resources/db/migration/V1__...sql sampai V6__...sql</x:v>
      </x:c>
      <x:c r="B42" t="str">
        <x:v>Flyway migration</x:v>
      </x:c>
      <x:c r="C42" t="str">
        <x:v>Semua</x:v>
      </x:c>
      <x:c r="D42" t="str">
        <x:v>Schema, index, constraint, dummy data, dan normalisasi akun starter.</x:v>
      </x:c>
      <x:c r="E42" t="str">
        <x:v>Jangan edit migration lama; tambah V7 dan seterusnya.</x:v>
      </x:c>
    </x:row>
    <x:row r="43">
      <x:c r="A43" t="str">
        <x:v>database/create_database.sql dan database/verify_database.sql</x:v>
      </x:c>
      <x:c r="B43" t="str">
        <x:v>Database utility</x:v>
      </x:c>
      <x:c r="C43" t="str">
        <x:v>Semua</x:v>
      </x:c>
      <x:c r="D43" t="str">
        <x:v>Membuat database lokal dan mengaudit integritas.</x:v>
      </x:c>
      <x:c r="E43" t="str">
        <x:v>Gunakan bersama MariaDB/MySQL.</x:v>
      </x:c>
    </x:row>
    <x:row r="44">
      <x:c r="A44" t="str">
        <x:v>src/test/java/com/tup/reservasi/**</x:v>
      </x:c>
      <x:c r="B44" t="str">
        <x:v>Test scaffold</x:v>
      </x:c>
      <x:c r="C44" t="str">
        <x:v>Masing-masing owner</x:v>
      </x:c>
      <x:c r="D44" t="str">
        <x:v>Slot test entity, repository, service, API, MVC, auth, dan migration.</x:v>
      </x:c>
      <x:c r="E44" t="str">
        <x:v>Isi bersamaan dengan fitur.</x:v>
      </x:c>
    </x:row>
    <x:row r="45">
      <x:c r="A45" t="str">
        <x:v>README.md, STARTER_SCOPE.md, DEVELOPMENT_MAP.md</x:v>
      </x:c>
      <x:c r="B45" t="str">
        <x:v>Dokumentasi</x:v>
      </x:c>
      <x:c r="C45" t="str">
        <x:v>Semua</x:v>
      </x:c>
      <x:c r="D45" t="str">
        <x:v>Cara run, batas starter, peta struktur, dan aturan Flyway.</x:v>
      </x:c>
      <x:c r="E45" t="str">
        <x:v>Acuan onboarding anggota.</x:v>
      </x:c>
    </x:row>
  </x:sheetData>
  <x:pageMargins left="0.7" right="0.7" top="0.75" bottom="0.75" header="0.3" footer="0.3"/>
  <x:tableParts count="1">
    <x:tablePart xmlns:r="http://schemas.openxmlformats.org/officeDocument/2006/relationships" r:id="R5992f4f9e5cf4a7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32" hidden="0" customWidth="1"/>
    <x:col min="4" max="4" width="56" hidden="0" customWidth="1"/>
    <x:col min="5" max="5" width="45" hidden="0" customWidth="1"/>
  </x:cols>
  <x:sheetData>
    <x:row r="1" ht="30" customHeight="1">
      <x:c r="A1" s="6" t="str">
        <x:v>Materi Java OOP</x:v>
      </x:c>
      <x:c r="B1" s="6" t="str">
        <x:v>Implementasi di Project</x:v>
      </x:c>
      <x:c r="C1" s="6" t="str">
        <x:v>Contoh File/Class</x:v>
      </x:c>
      <x:c r="D1" s="6" t="str">
        <x:v>Starter/Contoh Singkat</x:v>
      </x:c>
      <x:c r="E1" s="6" t="str">
        <x:v>Catatan</x:v>
      </x:c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82" customHeight="1">
      <x:c r="A2" s="14" t="str">
        <x:v>Abstraksi</x:v>
      </x:c>
      <x:c r="B2" s="14" t="str">
        <x:v>Buat konsep umum user dan perilaku notifikasi tanpa detail implementasi lengkap.</x:v>
      </x:c>
      <x:c r="C2" s="14" t="str">
        <x:v>User.java, Notifiable.java</x:v>
      </x:c>
      <x:c r="D2" s="14" t="str">
        <x:v>abstract class User { ... }
interface Notifiable { void receiveNotification(Notification n); }</x:v>
      </x:c>
      <x:c r="E2" s="14" t="str">
        <x:v>Abstraksi = fokus pada perilaku penting.</x:v>
      </x:c>
    </x:row>
    <x:row r="3" ht="82" customHeight="1">
      <x:c r="A3" s="14" t="str">
        <x:v>Agregasi</x:v>
      </x:c>
      <x:c r="B3" s="14" t="str">
        <x:v>Tidak diklaim atau dibuktikan eksplisit pada scope penyelesaian saat ini.</x:v>
      </x:c>
      <x:c r="C3" s="14" t="str">
        <x:v>Dilewati sesuai scope</x:v>
      </x:c>
      <x:c r="D3" s="14" t="str">
        <x:v>-</x:v>
      </x:c>
      <x:c r="E3" s="14" t="str">
        <x:v>Tidak dipaksakan bila tidak diperlukan domain.</x:v>
      </x:c>
    </x:row>
    <x:row r="4" ht="82" customHeight="1">
      <x:c r="A4" s="14" t="str">
        <x:v>Asosiasi</x:v>
      </x:c>
      <x:c r="B4" s="14" t="str">
        <x:v>Reservation berhubungan dengan Mahasiswa dan Room; Approval dengan Admin; AccessRecord dengan Satpam.</x:v>
      </x:c>
      <x:c r="C4" s="14" t="str">
        <x:v>Reservation.java, Approval.java, AccessRecord.java</x:v>
      </x:c>
      <x:c r="D4" s="14" t="str">
        <x:v>private Mahasiswa mahasiswa;
private Room room;</x:v>
      </x:c>
      <x:c r="E4" s="14" t="str">
        <x:v>Relasi domain, bukan warisan.</x:v>
      </x:c>
    </x:row>
    <x:row r="5" ht="82" customHeight="1">
      <x:c r="A5" s="14" t="str">
        <x:v>Collection</x:v>
      </x:c>
      <x:c r="B5" s="14" t="str">
        <x:v>List&lt;T&gt;, List.copyOf(...), stream, filter, findFirst, dan toList dipakai sesuai kebutuhan.</x:v>
      </x:c>
      <x:c r="C5" s="14" t="str">
        <x:v>Entity, service, repository, controller</x:v>
      </x:c>
      <x:c r="D5" s="14" t="str">
        <x:v>return List.copyOf(notifications);</x:v>
      </x:c>
      <x:c r="E5" s="14" t="str">
        <x:v>Collection internal entity diekspos sebagai read-only copy.</x:v>
      </x:c>
    </x:row>
    <x:row r="6" ht="82" customHeight="1">
      <x:c r="A6" s="14" t="str">
        <x:v>Constructor</x:v>
      </x:c>
      <x:c r="B6" s="14" t="str">
        <x:v>Constructor kosong dan berparameter untuk entity.</x:v>
      </x:c>
      <x:c r="C6" s="14" t="str">
        <x:v>Room.java, Reservation.java</x:v>
      </x:c>
      <x:c r="D6" s="14" t="str">
        <x:v>public Room() {}
public Room(String roomId, String namaRuang) { ... }</x:v>
      </x:c>
      <x:c r="E6" s="14" t="str">
        <x:v>Constructor membuat object domain; Reservation.restore(...) dipakai saat hydration database.</x:v>
      </x:c>
    </x:row>
    <x:row r="7" ht="82" customHeight="1">
      <x:c r="A7" s="14" t="str">
        <x:v>Encapsulation</x:v>
      </x:c>
      <x:c r="B7" s="14" t="str">
        <x:v>Field private; perubahan status melewati whitelist transisi; collection internal tidak dapat dimutasi dari luar.</x:v>
      </x:c>
      <x:c r="C7" s="14" t="str">
        <x:v>Semua Entity</x:v>
      </x:c>
      <x:c r="D7" s="14" t="str">
        <x:v>reservation.ubahStatus(APPROVED);
return List.copyOf(notifications);</x:v>
      </x:c>
      <x:c r="E7" s="14" t="str">
        <x:v>Sama dengan Enkapsulasi.</x:v>
      </x:c>
    </x:row>
    <x:row r="8" ht="82" customHeight="1">
      <x:c r="A8" s="14" t="str">
        <x:v>Enkapsulasi</x:v>
      </x:c>
      <x:c r="B8" s="14" t="str">
        <x:v>Istilah Indonesia untuk Encapsulation; diterapkan pada entity dan transisi status Reservation.</x:v>
      </x:c>
      <x:c r="C8" s="14" t="str">
        <x:v>Semua Entity</x:v>
      </x:c>
      <x:c r="D8" s="14" t="str">
        <x:v>private field + method domain tervalidasi</x:v>
      </x:c>
      <x:c r="E8" s="14" t="str">
        <x:v>Duplikasi istilah, tidak perlu konsep terpisah.</x:v>
      </x:c>
    </x:row>
    <x:row r="9" ht="82" customHeight="1">
      <x:c r="A9" s="14" t="str">
        <x:v>Exception</x:v>
      </x:c>
      <x:c r="B9" s="14" t="str">
        <x:v>Business rule error seperti ruang tidak tersedia atau status tidak valid.</x:v>
      </x:c>
      <x:c r="C9" s="14" t="str">
        <x:v>ReservationException.java</x:v>
      </x:c>
      <x:c r="D9" s="14" t="str">
        <x:v>throw new ReservationException("Ruang tidak tersedia");</x:v>
      </x:c>
      <x:c r="E9" s="14" t="str">
        <x:v>Jangan diam-diam return data salah.</x:v>
      </x:c>
    </x:row>
    <x:row r="10" ht="82" customHeight="1">
      <x:c r="A10" s="14" t="str">
        <x:v>Field</x:v>
      </x:c>
      <x:c r="B10" s="14" t="str">
        <x:v>Atribut class.</x:v>
      </x:c>
      <x:c r="C10" s="14" t="str">
        <x:v>Reservation.java</x:v>
      </x:c>
      <x:c r="D10" s="14" t="str">
        <x:v>private String reservationId;
private ReservationStatus status;</x:v>
      </x:c>
      <x:c r="E10" s="14" t="str">
        <x:v>Field dibuat private.</x:v>
      </x:c>
    </x:row>
    <x:row r="11" ht="82" customHeight="1">
      <x:c r="A11" s="14" t="str">
        <x:v>Finally</x:v>
      </x:c>
      <x:c r="B11" s="14" t="str">
        <x:v>Blok yang selalu dijalankan setelah try/catch.</x:v>
      </x:c>
      <x:c r="C11" s="14" t="str">
        <x:v>AccessControlService.java</x:v>
      </x:c>
      <x:c r="D11" s="14" t="str">
        <x:v>try { ... } catch (ReservationException e) { ... } finally { lastProcessedAt = LocalDateTime.now(); }</x:v>
      </x:c>
      <x:c r="E11" s="14" t="str">
        <x:v>Gunakan seperlunya, jangan dipaksakan.</x:v>
      </x:c>
    </x:row>
    <x:row r="12" ht="82" customHeight="1">
      <x:c r="A12" s="14" t="str">
        <x:v>Inheritance</x:v>
      </x:c>
      <x:c r="B12" s="14" t="str">
        <x:v>Mahasiswa/Admin/Satpam mewarisi User.</x:v>
      </x:c>
      <x:c r="C12" s="14" t="str">
        <x:v>Mahasiswa.java, Admin.java, Satpam.java</x:v>
      </x:c>
      <x:c r="D12" s="14" t="str">
        <x:v>public class Mahasiswa extends User implements Notifiable</x:v>
      </x:c>
      <x:c r="E12" s="14" t="str">
        <x:v>Warisan untuk field dan method user umum.</x:v>
      </x:c>
    </x:row>
    <x:row r="13" ht="82" customHeight="1">
      <x:c r="A13" s="14" t="str">
        <x:v>Interface</x:v>
      </x:c>
      <x:c r="B13" s="14" t="str">
        <x:v>Notifiable untuk objek yang bisa menerima notifikasi.</x:v>
      </x:c>
      <x:c r="C13" s="14" t="str">
        <x:v>Notifiable.java</x:v>
      </x:c>
      <x:c r="D13" s="14" t="str">
        <x:v>void receiveNotification(Notification notification);</x:v>
      </x:c>
      <x:c r="E13" s="14" t="str">
        <x:v>Dipakai oleh Mahasiswa/Admin/Satpam.</x:v>
      </x:c>
    </x:row>
    <x:row r="14" ht="82" customHeight="1">
      <x:c r="A14" s="14" t="str">
        <x:v>Java Modifier</x:v>
      </x:c>
      <x:c r="B14" s="14" t="str">
        <x:v>public/private/protected/static/final/abstract.</x:v>
      </x:c>
      <x:c r="C14" s="14" t="str">
        <x:v>Semua file</x:v>
      </x:c>
      <x:c r="D14" s="14" t="str">
        <x:v>private static final LocalTime LECTURE_START = LocalTime.of(7, 0);</x:v>
      </x:c>
      <x:c r="E14" s="14" t="str">
        <x:v>Gunakan private untuk field; public untuk API method.</x:v>
      </x:c>
    </x:row>
    <x:row r="15" ht="82" customHeight="1">
      <x:c r="A15" s="14" t="str">
        <x:v>Kelas</x:v>
      </x:c>
      <x:c r="B15" s="14" t="str">
        <x:v>Blueprint diterjemahkan ke class Java.</x:v>
      </x:c>
      <x:c r="C15" s="14" t="str">
        <x:v>Room, Reservation, Approval</x:v>
      </x:c>
      <x:c r="D15" s="14" t="str">
        <x:v>public class Room { ... }</x:v>
      </x:c>
      <x:c r="E15" s="14" t="str">
        <x:v>Class = cetak biru object.</x:v>
      </x:c>
    </x:row>
    <x:row r="16" ht="82" customHeight="1">
      <x:c r="A16" s="14" t="str">
        <x:v>Kelas Abstrak</x:v>
      </x:c>
      <x:c r="B16" s="14" t="str">
        <x:v>User tidak dibuat object langsung.</x:v>
      </x:c>
      <x:c r="C16" s="14" t="str">
        <x:v>User.java</x:v>
      </x:c>
      <x:c r="D16" s="14" t="str">
        <x:v>public abstract class User { ... }</x:v>
      </x:c>
      <x:c r="E16" s="14" t="str">
        <x:v>Object dibuat dari Mahasiswa/Admin/Satpam.</x:v>
      </x:c>
    </x:row>
    <x:row r="17" ht="82" customHeight="1">
      <x:c r="A17" s="14" t="str">
        <x:v>Keyword "this"</x:v>
      </x:c>
      <x:c r="B17" s="14" t="str">
        <x:v>Membedakan field object dengan parameter.</x:v>
      </x:c>
      <x:c r="C17" s="14" t="str">
        <x:v>Constructor entity</x:v>
      </x:c>
      <x:c r="D17" s="14" t="str">
        <x:v>this.nama = nama;</x:v>
      </x:c>
      <x:c r="E17" s="14" t="str">
        <x:v>Wajib jelas di constructor dan setter.</x:v>
      </x:c>
    </x:row>
    <x:row r="18" ht="82" customHeight="1">
      <x:c r="A18" s="14" t="str">
        <x:v>Komposisi</x:v>
      </x:c>
      <x:c r="B18" s="14" t="str">
        <x:v>Tidak diklaim atau dibuktikan eksplisit pada scope penyelesaian saat ini.</x:v>
      </x:c>
      <x:c r="C18" s="14" t="str">
        <x:v>Dilewati sesuai scope</x:v>
      </x:c>
      <x:c r="D18" s="14" t="str">
        <x:v>-</x:v>
      </x:c>
      <x:c r="E18" s="14" t="str">
        <x:v>Tidak dipaksakan bila lifetime object domain tidak memerlukannya.</x:v>
      </x:c>
    </x:row>
    <x:row r="19" ht="82" customHeight="1">
      <x:c r="A19" s="14" t="str">
        <x:v>Method</x:v>
      </x:c>
      <x:c r="B19" s="14" t="str">
        <x:v>Fungsi dalam class.</x:v>
      </x:c>
      <x:c r="C19" s="14" t="str">
        <x:v>ReservationService.java</x:v>
      </x:c>
      <x:c r="D19" s="14" t="str">
        <x:v>public Reservation createReservation(...) { ... }</x:v>
      </x:c>
      <x:c r="E19" s="14" t="str">
        <x:v>Method service berisi logika bisnis.</x:v>
      </x:c>
    </x:row>
    <x:row r="20" ht="82" customHeight="1">
      <x:c r="A20" s="14" t="str">
        <x:v>Object</x:v>
      </x:c>
      <x:c r="B20" s="14" t="str">
        <x:v>Instance dari class.</x:v>
      </x:c>
      <x:c r="C20" s="14" t="str">
        <x:v>data.sql, repository mapper</x:v>
      </x:c>
      <x:c r="D20" s="14" t="str">
        <x:v>Reservation.restore(...);
new Room("R001", "Ruang A101", "Gedung A", 40, true);</x:v>
      </x:c>
      <x:c r="E20" s="14" t="str">
        <x:v>Object dibuat dari input pengguna, seed database, dan hasil mapping query.</x:v>
      </x:c>
    </x:row>
    <x:row r="21" ht="82" customHeight="1">
      <x:c r="A21" s="14" t="str">
        <x:v>Overloading Method</x:v>
      </x:c>
      <x:c r="B21" s="14" t="str">
        <x:v>Nama method sama, parameter beda.</x:v>
      </x:c>
      <x:c r="C21" s="14" t="str">
        <x:v>ReservationService.java</x:v>
      </x:c>
      <x:c r="D21" s="14" t="str">
        <x:v>createReservation(Mahasiswa, Room, ...)
createReservation(String mahasiswaId, String roomId, ...)</x:v>
      </x:c>
      <x:c r="E21" s="14" t="str">
        <x:v>Opsional; jangan terlalu banyak.</x:v>
      </x:c>
    </x:row>
    <x:row r="22" ht="82" customHeight="1">
      <x:c r="A22" s="14" t="str">
        <x:v>Overriding Method</x:v>
      </x:c>
      <x:c r="B22" s="14" t="str">
        <x:v>Subclass mengisi method dari parent/interface.</x:v>
      </x:c>
      <x:c r="C22" s="14" t="str">
        <x:v>Mahasiswa/Admin/Satpam</x:v>
      </x:c>
      <x:c r="D22" s="14" t="str">
        <x:v>@Override
public void receiveNotification(Notification n) { ... }</x:v>
      </x:c>
      <x:c r="E22" s="14" t="str">
        <x:v>Wajib untuk implementasi Notifiable.</x:v>
      </x:c>
    </x:row>
    <x:row r="23" ht="82" customHeight="1">
      <x:c r="A23" s="14" t="str">
        <x:v>Package</x:v>
      </x:c>
      <x:c r="B23" s="14" t="str">
        <x:v>Pengelompokan file Java.</x:v>
      </x:c>
      <x:c r="C23" s="14" t="str">
        <x:v>com.tup.reservasi.*</x:v>
      </x:c>
      <x:c r="D23" s="14" t="str">
        <x:v>package com.tup.reservasi.entity;</x:v>
      </x:c>
      <x:c r="E23" s="14" t="str">
        <x:v>Sesuai base package com.tup.reservasi.</x:v>
      </x:c>
    </x:row>
    <x:row r="24" ht="82" customHeight="1">
      <x:c r="A24" s="14" t="str">
        <x:v>Polymorphism</x:v>
      </x:c>
      <x:c r="B24" s="14" t="str">
        <x:v>Satu tipe referensi bisa menunjuk banyak implementasi.</x:v>
      </x:c>
      <x:c r="C24" s="14" t="str">
        <x:v>NotificationService.java</x:v>
      </x:c>
      <x:c r="D24" s="14" t="str">
        <x:v>sendNotification(Notifiable penerima, String pesan)</x:v>
      </x:c>
      <x:c r="E24" s="14" t="str">
        <x:v>Bisa menerima Mahasiswa/Admin/Satpam.</x:v>
      </x:c>
    </x:row>
    <x:row r="25" ht="82" customHeight="1">
      <x:c r="A25" s="14" t="str">
        <x:v>Polymorphisms</x:v>
      </x:c>
      <x:c r="B25" s="14" t="str">
        <x:v>Istilah jamak/duplikat dari Polymorphism.</x:v>
      </x:c>
      <x:c r="C25" s="14" t="str">
        <x:v>NotificationService.java</x:v>
      </x:c>
      <x:c r="D25" s="14" t="str">
        <x:v>List&lt;Notifiable&gt; penerima = List.of(mahasiswa, admin);</x:v>
      </x:c>
      <x:c r="E25" s="14" t="str">
        <x:v>Tidak perlu dibuat konsep terpisah.</x:v>
      </x:c>
    </x:row>
    <x:row r="26" ht="82" customHeight="1">
      <x:c r="A26" s="14" t="str">
        <x:v>Static Class</x:v>
      </x:c>
      <x:c r="B26" s="14" t="str">
        <x:v>Di Java hanya nested class yang bisa static.</x:v>
      </x:c>
      <x:c r="C26" s="14" t="str">
        <x:v>DataSeeder.java opsional</x:v>
      </x:c>
      <x:c r="D26" s="14" t="str">
        <x:v>public class DataSeeder { static class SampleData { ... } }</x:v>
      </x:c>
      <x:c r="E26" s="14" t="str">
        <x:v>Tidak wajib. Jangan buat top-level static class karena tidak valid.</x:v>
      </x:c>
    </x:row>
    <x:row r="27" ht="82" customHeight="1">
      <x:c r="A27" s="14" t="str">
        <x:v>Static Method</x:v>
      </x:c>
      <x:c r="B27" s="14" t="str">
        <x:v>Method bisa dipanggil tanpa object.</x:v>
      </x:c>
      <x:c r="C27" s="14" t="str">
        <x:v>IdGenerator.java</x:v>
      </x:c>
      <x:c r="D27" s="14" t="str">
        <x:v>public static String generateId(String prefix) { ... }</x:v>
      </x:c>
      <x:c r="E27" s="14" t="str">
        <x:v>Dipakai untuk ID object domain.</x:v>
      </x:c>
    </x:row>
    <x:row r="28" ht="82" customHeight="1">
      <x:c r="A28" s="14" t="str">
        <x:v>Static Variabel</x:v>
      </x:c>
      <x:c r="B28" s="14" t="str">
        <x:v>Konstanta dan helper class-level yang independen dari instance.</x:v>
      </x:c>
      <x:c r="C28" s="14" t="str">
        <x:v>AuthSession.java, IdGenerator.java, ReservationService.java</x:v>
      </x:c>
      <x:c r="D28" s="14" t="str">
        <x:v>public static final String ROLE = "AUTH_ROLE";
private static final LocalTime LECTURE_START = LocalTime.of(7, 0);</x:v>
      </x:c>
      <x:c r="E28" s="14" t="str">
        <x:v>Bukan dummy storage global.</x:v>
      </x:c>
    </x:row>
    <x:row r="29" ht="82" customHeight="1">
      <x:c r="A29" s="14" t="str">
        <x:v>Super</x:v>
      </x:c>
      <x:c r="B29" s="14" t="str">
        <x:v>Memanggil constructor/method parent.</x:v>
      </x:c>
      <x:c r="C29" s="14" t="str">
        <x:v>Mahasiswa.java</x:v>
      </x:c>
      <x:c r="D29" s="14" t="str">
        <x:v>super(id, nama, email, noHp, passwordHash);</x:v>
      </x:c>
      <x:c r="E29" s="14" t="str">
        <x:v>Dipakai di subclass User.</x:v>
      </x:c>
    </x:row>
    <x:row r="30" ht="82" customHeight="1">
      <x:c r="A30" s="14" t="str">
        <x:v>Throws</x:v>
      </x:c>
      <x:c r="B30" s="14" t="str">
        <x:v>Deklarasi method bisa melempar exception.</x:v>
      </x:c>
      <x:c r="C30" s="14" t="str">
        <x:v>ReservationService.java</x:v>
      </x:c>
      <x:c r="D30" s="14" t="str">
        <x:v>public Reservation createReservation(...) throws ReservationException</x:v>
      </x:c>
      <x:c r="E30" s="14" t="str">
        <x:v>Berguna untuk error business rule.</x:v>
      </x:c>
    </x:row>
    <x:row r="31" ht="82" customHeight="1">
      <x:c r="A31" s="14" t="str">
        <x:v>Try Catch</x:v>
      </x:c>
      <x:c r="B31" s="14" t="str">
        <x:v>Menangani exception agar response API jelas.</x:v>
      </x:c>
      <x:c r="C31" s="14" t="str">
        <x:v>PageController MVC, GlobalExceptionHandler.java</x:v>
      </x:c>
      <x:c r="D31" s="14" t="str">
        <x:v>try { ... } catch (ReservationException e) { ... }
@RestControllerAdvice</x:v>
      </x:c>
      <x:c r="E31" s="14" t="str">
        <x:v>Halaman MVC menangani redirect error; API memakai global handler.</x:v>
      </x:c>
    </x:row>
  </x:sheetData>
  <x:pageMargins left="0.7" right="0.7" top="0.75" bottom="0.75" header="0.3" footer="0.3"/>
  <x:tableParts count="1">
    <x:tablePart xmlns:r="http://schemas.openxmlformats.org/officeDocument/2006/relationships" r:id="Ra4fd39223c194d1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46" hidden="0" customWidth="1"/>
    <x:col min="4" max="4" width="38" hidden="0" customWidth="1"/>
    <x:col min="5" max="5" width="72" hidden="0" customWidth="1"/>
    <x:col min="6" max="6" width="44" hidden="0" customWidth="1"/>
  </x:cols>
  <x:sheetData>
    <x:row r="1" ht="30" customHeight="1">
      <x:c r="A1" s="6" t="str">
        <x:v>File</x:v>
      </x:c>
      <x:c r="B1" s="6" t="str">
        <x:v>Class/Type</x:v>
      </x:c>
      <x:c r="C1" s="6" t="str">
        <x:v>Field/Atribut Utama</x:v>
      </x:c>
      <x:c r="D1" s="6" t="str">
        <x:v>Method Utama</x:v>
      </x:c>
      <x:c r="E1" s="16" t="str">
        <x:v>Implementasi Ringkas</x:v>
      </x:c>
      <x:c r="F1" s="6" t="str">
        <x:v>Catatan</x:v>
      </x:c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140" customHeight="1">
      <x:c r="A2" s="14" t="str">
        <x:v>ReservasiApplication.java</x:v>
      </x:c>
      <x:c r="B2" s="14" t="str">
        <x:v>Main Application</x:v>
      </x:c>
      <x:c r="C2" s="14" t="str">
        <x:v>-</x:v>
      </x:c>
      <x:c r="D2" s="14" t="str">
        <x:v>main(String[] args)</x:v>
      </x:c>
      <x:c r="E2" s="14" t="str">
        <x:v>package com.tup.reservasi;
@SpringBootApplication
public class ReservasiApplication {
    public static void main(String[] args) {
        SpringApplication.run(ReservasiApplication.class, args);
    }
}</x:v>
      </x:c>
      <x:c r="F2" s="14" t="str">
        <x:v>Entry point Spring Boot.</x:v>
      </x:c>
    </x:row>
    <x:row r="3" ht="140" customHeight="1">
      <x:c r="A3" s="14" t="str">
        <x:v>entity/User.java</x:v>
      </x:c>
      <x:c r="B3" s="14" t="str">
        <x:v>abstract class User</x:v>
      </x:c>
      <x:c r="C3" s="14" t="str">
        <x:v>id, nama, email, noHp, passwordHash</x:v>
      </x:c>
      <x:c r="D3" s="14" t="str">
        <x:v>login, logout, ubahProfil, getter/setter</x:v>
      </x:c>
      <x:c r="E3" s="14" t="str">
        <x:v>public abstract class User {
    private String id;
    private String nama;
    private String email;
    private String noHp;
    private String passwordHash;
    public User() {}
    public User(String id, String nama, String email, String noHp, String passwordHash) {
        this.id = id;
        this.nama = nama;
        this.email = email;
        this.noHp = noHp;
        this.passwordHash = passwordHash;
    }
    public boolean login(String email, String password) {
        return this.email.equals(email) &amp;&amp; this.passwordHash.equals(password);
    }
    public void ubahProfil(String nama, String email, String noHp) {
        this.nama = nama;
        this.email = email;
        this.noHp = noHp;
    }
}</x:v>
      </x:c>
      <x:c r="F3" s="14" t="str">
        <x:v>Tambahkan getter/setter seperti Student.java.</x:v>
      </x:c>
    </x:row>
    <x:row r="4" ht="140" customHeight="1">
      <x:c r="A4" s="14" t="str">
        <x:v>interface_/Notifiable.java</x:v>
      </x:c>
      <x:c r="B4" s="14" t="str">
        <x:v>interface Notifiable</x:v>
      </x:c>
      <x:c r="C4" s="14" t="str">
        <x:v>-</x:v>
      </x:c>
      <x:c r="D4" s="14" t="str">
        <x:v>receiveNotification(Notification notification)</x:v>
      </x:c>
      <x:c r="E4" s="14" t="str">
        <x:v>public interface Notifiable {
    void receiveNotification(Notification notification);
}</x:v>
      </x:c>
      <x:c r="F4" s="14" t="str">
        <x:v>Package diberi nama interface_ agar tidak bentrok keyword Java.</x:v>
      </x:c>
    </x:row>
    <x:row r="5" ht="140" customHeight="1">
      <x:c r="A5" s="14" t="str">
        <x:v>entity/Mahasiswa.java</x:v>
      </x:c>
      <x:c r="B5" s="14" t="str">
        <x:v>class Mahasiswa extends User implements Notifiable</x:v>
      </x:c>
      <x:c r="C5" s="14" t="str">
        <x:v>nim, prodi, angkatan</x:v>
      </x:c>
      <x:c r="D5" s="14" t="str">
        <x:v>ajukanReservasi, batalkanReservasi, lihatStatusReservasi, receiveNotification</x:v>
      </x:c>
      <x:c r="E5" s="14" t="str">
        <x:v>public class Mahasiswa extends User implements Notifiable {
    private String nim;
    private String prodi;
    private int angkatan;
    public Mahasiswa() {}
    public Mahasiswa(String id, String nama, String email, String noHp, String passwordHash,
                     String nim, String prodi, int angkatan) {
        super(id, nama, email, noHp, passwordHash);
        this.nim = nim;
        this.prodi = prodi;
        this.angkatan = angkatan;
    }
    @Override
    public void receiveNotification(Notification notification) {
        System.out.println("Notifikasi mahasiswa: " + notification.getPesan());
    }
}</x:v>
      </x:c>
      <x:c r="F5" s="14" t="str">
        <x:v>Tambahkan getter/setter.</x:v>
      </x:c>
    </x:row>
    <x:row r="6" ht="140" customHeight="1">
      <x:c r="A6" s="14" t="str">
        <x:v>entity/Room.java</x:v>
      </x:c>
      <x:c r="B6" s="14" t="str">
        <x:v>class Room</x:v>
      </x:c>
      <x:c r="C6" s="14" t="str">
        <x:v>roomId, namaRuang, gedung, kapasitas, statusAktif</x:v>
      </x:c>
      <x:c r="D6" s="14" t="str">
        <x:v>aktifkan, nonaktifkan, getInfoRuang</x:v>
      </x:c>
      <x:c r="E6" s="14" t="str">
        <x:v>public class Room {
    private String roomId;
    private String namaRuang;
    private String gedung;
    private int kapasitas;
    private boolean statusAktif;
    public Room() {}
    public Room(String roomId, String namaRuang, String gedung, int kapasitas, boolean statusAktif) {
        this.roomId = roomId;
        this.namaRuang = namaRuang;
        this.gedung = gedung;
        this.kapasitas = kapasitas;
        this.statusAktif = statusAktif;
    }
    public void aktifkan() { this.statusAktif = true; }
    public void nonaktifkan() { this.statusAktif = false; }
}</x:v>
      </x:c>
      <x:c r="F6" s="14" t="str">
        <x:v>Availability bukan di Room, tapi di ReservationService.</x:v>
      </x:c>
    </x:row>
    <x:row r="7" ht="140" customHeight="1">
      <x:c r="A7" s="14" t="str">
        <x:v>enums/ReservationStatus.java</x:v>
      </x:c>
      <x:c r="B7" s="14" t="str">
        <x:v>enum ReservationStatus</x:v>
      </x:c>
      <x:c r="C7" s="14" t="str">
        <x:v>DRAFT, PENDING, APPROVED, REJECTED, ACTIVE, COMPLETED, CANCELLED</x:v>
      </x:c>
      <x:c r="D7" s="14" t="str">
        <x:v>-</x:v>
      </x:c>
      <x:c r="E7" s="14" t="str">
        <x:v>public enum ReservationStatus {
    DRAFT,
    PENDING,
    APPROVED,
    REJECTED,
    ACTIVE,
    COMPLETED,
    CANCELLED
}</x:v>
      </x:c>
      <x:c r="F7" s="14" t="str">
        <x:v>Status utama reservasi.</x:v>
      </x:c>
    </x:row>
    <x:row r="8" ht="140" customHeight="1">
      <x:c r="A8" s="14" t="str">
        <x:v>entity/Reservation.java</x:v>
      </x:c>
      <x:c r="B8" s="14" t="str">
        <x:v>class Reservation</x:v>
      </x:c>
      <x:c r="C8" s="14" t="str">
        <x:v>reservationId, mahasiswa, room, tanggal, jamMulai, jamSelesai, tujuan, status, createdAt, cancelledAt</x:v>
      </x:c>
      <x:c r="D8" s="14" t="str">
        <x:v>ajukan, ubahStatus, batalkan, validasiWaktu, isCanBeCancelled</x:v>
      </x:c>
      <x:c r="E8" s="14" t="str">
        <x:v>public void ubahStatus(ReservationStatus statusBaru) {
    if (!isValidTransition(statusBaru)) {
        throw new ReservationException("Transisi status reservasi tidak valid");
    }
    this.status = statusBaru;
}
public static Reservation restore(...) {
    // Hydration database tanpa menyamar sebagai aksi bisnis.
}</x:v>
      </x:c>
      <x:c r="F8" s="14" t="str">
        <x:v>Status hanya berubah lewat transisi domain yang diizinkan.</x:v>
      </x:c>
    </x:row>
    <x:row r="9" ht="140" customHeight="1">
      <x:c r="A9" s="14" t="str">
        <x:v>service/ReservationService.java</x:v>
      </x:c>
      <x:c r="B9" s="14" t="str">
        <x:v>class ReservationService</x:v>
      </x:c>
      <x:c r="C9" s="14" t="str">
        <x:v>UserService, NotificationService, ReservationRepository, RoomRepository</x:v>
      </x:c>
      <x:c r="D9" s="14" t="str">
        <x:v>createReservation, validateAvailability, cancelReservation, getReservationHistory</x:v>
      </x:c>
      <x:c r="E9" s="14" t="str">
        <x:v>@Service
public class ReservationService {
    private final UserService userService;
    private final NotificationService notificationService;
    private final ReservationRepository reservationRepository;
    private final RoomRepository roomRepository;
    public boolean validateAvailability(...) {
        return !reservationRepository.existsBlockingOverlap(...);
    }
}</x:v>
      </x:c>
      <x:c r="F9" s="14" t="str">
        <x:v>Service menjalankan aturan bisnis dan memakai repository Spring JDBC.</x:v>
      </x:c>
    </x:row>
    <x:row r="10" ht="140" customHeight="1">
      <x:c r="A10" s="14" t="str">
        <x:v>controller/api/ReservationRestController.java</x:v>
      </x:c>
      <x:c r="B10" s="14" t="str">
        <x:v>REST Controller</x:v>
      </x:c>
      <x:c r="C10" s="14" t="str">
        <x:v>ReservationService reservationService</x:v>
      </x:c>
      <x:c r="D10" s="14" t="str">
        <x:v>getAll, getById, create, cancel</x:v>
      </x:c>
      <x:c r="E10" s="14" t="str">
        <x:v>@RestController
@RequestMapping("/api/reservations")
public class ReservationRestController {
    private final ReservationService reservationService;
    @PostMapping
    public ResponseEntity&lt;Reservation&gt; createReservation(
            @Valid @RequestBody ReservationRequest request, HttpSession session) {
        Reservation reservation = reservationService.createReservation(
                AuthSession.userId(session), request.roomId(), request.tanggal(),
                request.jamMulai(), request.jamSelesai(), request.tujuan());
        return ResponseEntity.status(HttpStatus.CREATED).body(reservation);
    }
}</x:v>
      </x:c>
      <x:c r="F10" s="14" t="str">
        <x:v>Request tervalidasi; mahasiswa diambil dari session login.</x:v>
      </x:c>
    </x:row>
    <x:row r="11" ht="140" customHeight="1">
      <x:c r="A11" s="14" t="str">
        <x:v>entity/Approval.java</x:v>
      </x:c>
      <x:c r="B11" s="14" t="str">
        <x:v>class Approval</x:v>
      </x:c>
      <x:c r="C11" s="14" t="str">
        <x:v>approvalId, reservation, admin, keputusan, catatan, reviewedAt</x:v>
      </x:c>
      <x:c r="D11" s="14" t="str">
        <x:v>setujui, tolak, mintaRevisi</x:v>
      </x:c>
      <x:c r="E11" s="14" t="str">
        <x:v>public class Approval {
    private String approvalId;
    private Reservation reservation;
    private Admin admin;
    private ApprovalDecision keputusan;
    private String catatan;
    private LocalDateTime reviewedAt;
    public void setujui(String catatan) {
        this.keputusan = ApprovalDecision.APPROVED;
        this.catatan = catatan;
        this.reviewedAt = LocalDateTime.now();
    }
}</x:v>
      </x:c>
      <x:c r="F11" s="14" t="str">
        <x:v>Keputusan approval bukan status reservasi.</x:v>
      </x:c>
    </x:row>
    <x:row r="12" ht="140" customHeight="1">
      <x:c r="A12" s="14" t="str">
        <x:v>service/ApprovalService.java</x:v>
      </x:c>
      <x:c r="B12" s="14" t="str">
        <x:v>class ApprovalService</x:v>
      </x:c>
      <x:c r="C12" s="14" t="str">
        <x:v>ReservationService, NotificationService, ApprovalRepository</x:v>
      </x:c>
      <x:c r="D12" s="14" t="str">
        <x:v>approveReservation, rejectReservation, requestRevision</x:v>
      </x:c>
      <x:c r="E12" s="14" t="str">
        <x:v>@Service
public class ApprovalService {
    private final ReservationService reservationService;
    private final NotificationService notificationService;
    private final ApprovalRepository approvalRepository;
    public Approval requestRevision(Admin admin, Reservation reservation, String catatan) {
        Approval approval = admin.mintaRevisiData(reservation, catatan);
        approvalRepository.save(approval);
        reservationService.updateReservationStatus(reservation.getReservationId(), REJECTED);
        return approval;
    }
}</x:v>
      </x:c>
      <x:c r="F12" s="14" t="str">
        <x:v>Revision disimpan sebagai keputusan REVISION_REQUESTED dan status reservasi REJECTED.</x:v>
      </x:c>
    </x:row>
    <x:row r="13" ht="140" customHeight="1">
      <x:c r="A13" s="14" t="str">
        <x:v>entity/AccessRecord.java</x:v>
      </x:c>
      <x:c r="B13" s="14" t="str">
        <x:v>class AccessRecord</x:v>
      </x:c>
      <x:c r="C13" s="14" t="str">
        <x:v>recordId, reservation, satpam, checkInTime, checkOutTime, catatanPelanggaran</x:v>
      </x:c>
      <x:c r="D13" s="14" t="str">
        <x:v>checkIn, checkOut, laporkanKendala</x:v>
      </x:c>
      <x:c r="E13" s="14" t="str">
        <x:v>public class AccessRecord {
    private String recordId;
    private Reservation reservation;
    private Satpam satpam;
    private LocalDateTime checkInTime;
    private LocalDateTime checkOutTime;
    private String catatanPelanggaran;
    public void checkIn() { this.checkInTime = LocalDateTime.now(); }
    public void checkOut() { this.checkOutTime = LocalDateTime.now(); }
}</x:v>
      </x:c>
      <x:c r="F13" s="14" t="str">
        <x:v>Satpam modul.</x:v>
      </x:c>
    </x:row>
    <x:row r="14" ht="140" customHeight="1">
      <x:c r="A14" s="14" t="str">
        <x:v>service/NotificationService.java</x:v>
      </x:c>
      <x:c r="B14" s="14" t="str">
        <x:v>class NotificationService</x:v>
      </x:c>
      <x:c r="C14" s="14" t="str">
        <x:v>NotificationRepository notificationRepository</x:v>
      </x:c>
      <x:c r="D14" s="14" t="str">
        <x:v>sendNotification, sendStatusUpdate</x:v>
      </x:c>
      <x:c r="E14" s="14" t="str">
        <x:v>@Service
public class NotificationService {
    private final NotificationRepository notificationRepository;
    public Notification sendNotification(Notifiable penerima, String pesan) {
        Notification notification = new Notification(...);
        Notification saved = notificationRepository.save(notification, null);
        penerima.receiveNotification(notification);
        return saved;
    }
}</x:v>
      </x:c>
      <x:c r="F14" s="14" t="str">
        <x:v>Interface + polymorphism dengan persistence repository.</x:v>
      </x:c>
    </x:row>
    <x:row r="15" ht="140" customHeight="1">
      <x:c r="A15" s="14" t="str">
        <x:v>exception/ReservationException.java</x:v>
      </x:c>
      <x:c r="B15" s="14" t="str">
        <x:v>custom exception</x:v>
      </x:c>
      <x:c r="C15" s="14" t="str">
        <x:v>-</x:v>
      </x:c>
      <x:c r="D15" s="14" t="str">
        <x:v>constructor(String message)</x:v>
      </x:c>
      <x:c r="E15" s="14" t="str">
        <x:v>public class ReservationException extends RuntimeException {
    public ReservationException(String message) {
        super(message);
    }
}</x:v>
      </x:c>
      <x:c r="F15" s="14" t="str">
        <x:v>RuntimeException agar controller bisa catch.</x:v>
      </x:c>
    </x:row>
  </x:sheetData>
  <x:pageMargins left="0.7" right="0.7" top="0.75" bottom="0.75" header="0.3" footer="0.3"/>
  <x:tableParts count="1">
    <x:tablePart xmlns:r="http://schemas.openxmlformats.org/officeDocument/2006/relationships" r:id="R6b5ecad52d9d485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32" hidden="0" customWidth="1"/>
    <x:col min="4" max="4" width="34" hidden="0" customWidth="1"/>
    <x:col min="5" max="5" width="52" hidden="0" customWidth="1"/>
    <x:col min="6" max="6" width="26" hidden="0" customWidth="1"/>
    <x:col min="7" max="7" width="22" hidden="0" customWidth="1"/>
    <x:col min="8" max="8" width="50" hidden="0" customWidth="1"/>
  </x:cols>
  <x:sheetData>
    <x:row r="1" ht="30" customHeight="1">
      <x:c r="A1" s="6" t="str">
        <x:v>Method</x:v>
      </x:c>
      <x:c r="B1" s="6" t="str">
        <x:v>URL</x:v>
      </x:c>
      <x:c r="C1" s="6" t="str">
        <x:v>Controller</x:v>
      </x:c>
      <x:c r="D1" s="6" t="str">
        <x:v>Fitur</x:v>
      </x:c>
      <x:c r="E1" s="6" t="str">
        <x:v>Request Body/Param</x:v>
      </x:c>
      <x:c r="F1" s="6" t="str">
        <x:v>Response</x:v>
      </x:c>
      <x:c r="G1" s="6" t="str">
        <x:v>Owner</x:v>
      </x:c>
      <x:c r="H1" s="6" t="str">
        <x:v>Catatan</x:v>
      </x:c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54" customHeight="1">
      <x:c r="A2" s="14" t="str">
        <x:v>GET</x:v>
      </x:c>
      <x:c r="B2" s="14" t="str">
        <x:v>/</x:v>
      </x:c>
      <x:c r="C2" s="14" t="str">
        <x:v>AuthPageController</x:v>
      </x:c>
      <x:c r="D2" s="14" t="str">
        <x:v>Home</x:v>
      </x:c>
      <x:c r="E2" s="14" t="str">
        <x:v>-</x:v>
      </x:c>
      <x:c r="F2" s="14" t="str">
        <x:v>index.html</x:v>
      </x:c>
      <x:c r="G2" s="14" t="str">
        <x:v>Amelia</x:v>
      </x:c>
      <x:c r="H2" s="14" t="str">
        <x:v>MVC template.</x:v>
      </x:c>
    </x:row>
    <x:row r="3" ht="54" customHeight="1">
      <x:c r="A3" s="14" t="str">
        <x:v>GET</x:v>
      </x:c>
      <x:c r="B3" s="14" t="str">
        <x:v>/registrasi</x:v>
      </x:c>
      <x:c r="C3" s="14" t="str">
        <x:v>MahasiswaPageController</x:v>
      </x:c>
      <x:c r="D3" s="14" t="str">
        <x:v>Form registrasi</x:v>
      </x:c>
      <x:c r="E3" s="14" t="str">
        <x:v>-</x:v>
      </x:c>
      <x:c r="F3" s="14" t="str">
        <x:v>registrasi.html</x:v>
      </x:c>
      <x:c r="G3" s="14" t="str">
        <x:v>Amelia</x:v>
      </x:c>
      <x:c r="H3" s="14" t="str">
        <x:v>Sama seperti contoh dosen.</x:v>
      </x:c>
    </x:row>
    <x:row r="4" ht="54" customHeight="1">
      <x:c r="A4" s="14" t="str">
        <x:v>POST</x:v>
      </x:c>
      <x:c r="B4" s="14" t="str">
        <x:v>/registrasi</x:v>
      </x:c>
      <x:c r="C4" s="14" t="str">
        <x:v>MahasiswaPageController</x:v>
      </x:c>
      <x:c r="D4" s="14" t="str">
        <x:v>Submit registrasi mahasiswa</x:v>
      </x:c>
      <x:c r="E4" s="14" t="str">
        <x:v>nama, email, noHp, nim, prodi, angkatan</x:v>
      </x:c>
      <x:c r="F4" s="14" t="str">
        <x:v>redirect:/mahasiswa/dashboard</x:v>
      </x:c>
      <x:c r="G4" s="14" t="str">
        <x:v>Amelia</x:v>
      </x:c>
      <x:c r="H4" s="14" t="str">
        <x:v>Simpan ke tabel users melalui UserRepository.</x:v>
      </x:c>
    </x:row>
    <x:row r="5" ht="54" customHeight="1">
      <x:c r="A5" s="14" t="str">
        <x:v>GET</x:v>
      </x:c>
      <x:c r="B5" s="14" t="str">
        <x:v>/dashboard</x:v>
      </x:c>
      <x:c r="C5" s="14" t="str">
        <x:v>AuthPageController</x:v>
      </x:c>
      <x:c r="D5" s="14" t="str">
        <x:v>Dashboard</x:v>
      </x:c>
      <x:c r="E5" s="14" t="str">
        <x:v>-</x:v>
      </x:c>
      <x:c r="F5" s="14" t="str">
        <x:v>dashboard.html</x:v>
      </x:c>
      <x:c r="G5" s="14" t="str">
        <x:v>Amelia/Semua</x:v>
      </x:c>
      <x:c r="H5" s="14" t="str">
        <x:v>Navigasi semua modul.</x:v>
      </x:c>
    </x:row>
    <x:row r="6" ht="54" customHeight="1">
      <x:c r="A6" s="14" t="str">
        <x:v>GET</x:v>
      </x:c>
      <x:c r="B6" s="14" t="str">
        <x:v>/api/mahasiswa</x:v>
      </x:c>
      <x:c r="C6" s="14" t="str">
        <x:v>UserRestController</x:v>
      </x:c>
      <x:c r="D6" s="14" t="str">
        <x:v>List mahasiswa</x:v>
      </x:c>
      <x:c r="E6" s="14" t="str">
        <x:v>-</x:v>
      </x:c>
      <x:c r="F6" s="14" t="str">
        <x:v>List&lt;Mahasiswa&gt;</x:v>
      </x:c>
      <x:c r="G6" s="14" t="str">
        <x:v>Amelia</x:v>
      </x:c>
      <x:c r="H6" s="14" t="str">
        <x:v>REST JSON.</x:v>
      </x:c>
    </x:row>
    <x:row r="7" ht="54" customHeight="1">
      <x:c r="A7" s="14" t="str">
        <x:v>POST</x:v>
      </x:c>
      <x:c r="B7" s="14" t="str">
        <x:v>/api/mahasiswa</x:v>
      </x:c>
      <x:c r="C7" s="14" t="str">
        <x:v>UserRestController</x:v>
      </x:c>
      <x:c r="D7" s="14" t="str">
        <x:v>Tambah mahasiswa</x:v>
      </x:c>
      <x:c r="E7" s="14" t="str">
        <x:v>Mahasiswa JSON</x:v>
      </x:c>
      <x:c r="F7" s="14" t="str">
        <x:v>201 Created</x:v>
      </x:c>
      <x:c r="G7" s="14" t="str">
        <x:v>Amelia</x:v>
      </x:c>
      <x:c r="H7" s="14" t="str">
        <x:v>Pola seperti tambahSiswa.</x:v>
      </x:c>
    </x:row>
    <x:row r="8" ht="54" customHeight="1">
      <x:c r="A8" s="14" t="str">
        <x:v>GET</x:v>
      </x:c>
      <x:c r="B8" s="14" t="str">
        <x:v>/api/rooms</x:v>
      </x:c>
      <x:c r="C8" s="14" t="str">
        <x:v>RoomRestController</x:v>
      </x:c>
      <x:c r="D8" s="14" t="str">
        <x:v>List ruang</x:v>
      </x:c>
      <x:c r="E8" s="14" t="str">
        <x:v>-</x:v>
      </x:c>
      <x:c r="F8" s="14" t="str">
        <x:v>List&lt;Room&gt;</x:v>
      </x:c>
      <x:c r="G8" s="14" t="str">
        <x:v>Ali</x:v>
      </x:c>
      <x:c r="H8" s="14" t="str">
        <x:v>Data ruang dibaca dari H2 melalui RoomRepository.</x:v>
      </x:c>
    </x:row>
    <x:row r="9" ht="54" customHeight="1">
      <x:c r="A9" s="14" t="str">
        <x:v>GET</x:v>
      </x:c>
      <x:c r="B9" s="14" t="str">
        <x:v>/api/rooms/{roomId}</x:v>
      </x:c>
      <x:c r="C9" s="14" t="str">
        <x:v>RoomRestController</x:v>
      </x:c>
      <x:c r="D9" s="14" t="str">
        <x:v>Detail ruang</x:v>
      </x:c>
      <x:c r="E9" s="14" t="str">
        <x:v>roomId</x:v>
      </x:c>
      <x:c r="F9" s="14" t="str">
        <x:v>Room / 404</x:v>
      </x:c>
      <x:c r="G9" s="14" t="str">
        <x:v>Ali</x:v>
      </x:c>
      <x:c r="H9" s="14" t="str">
        <x:v>RoomRepository.findById(roomId).</x:v>
      </x:c>
    </x:row>
    <x:row r="10" ht="54" customHeight="1">
      <x:c r="A10" s="14" t="str">
        <x:v>POST</x:v>
      </x:c>
      <x:c r="B10" s="14" t="str">
        <x:v>/api/rooms</x:v>
      </x:c>
      <x:c r="C10" s="14" t="str">
        <x:v>RoomRestController</x:v>
      </x:c>
      <x:c r="D10" s="14" t="str">
        <x:v>Tambah ruang</x:v>
      </x:c>
      <x:c r="E10" s="14" t="str">
        <x:v>Room JSON</x:v>
      </x:c>
      <x:c r="F10" s="14" t="str">
        <x:v>201 Created</x:v>
      </x:c>
      <x:c r="G10" s="14" t="str">
        <x:v>Ali</x:v>
      </x:c>
      <x:c r="H10" s="14" t="str">
        <x:v>Opsional untuk admin.</x:v>
      </x:c>
    </x:row>
    <x:row r="11" ht="54" customHeight="1">
      <x:c r="A11" s="14" t="str">
        <x:v>GET</x:v>
      </x:c>
      <x:c r="B11" s="14" t="str">
        <x:v>/api/reservations</x:v>
      </x:c>
      <x:c r="C11" s="14" t="str">
        <x:v>ReservationRestController</x:v>
      </x:c>
      <x:c r="D11" s="14" t="str">
        <x:v>List/riwayat reservasi</x:v>
      </x:c>
      <x:c r="E11" s="14" t="str">
        <x:v>opsional userId/status</x:v>
      </x:c>
      <x:c r="F11" s="14" t="str">
        <x:v>List&lt;Reservation&gt;</x:v>
      </x:c>
      <x:c r="G11" s="14" t="str">
        <x:v>'Aarif</x:v>
      </x:c>
      <x:c r="H11" s="14" t="str">
        <x:v>Use case lihat status.</x:v>
      </x:c>
    </x:row>
    <x:row r="12" ht="54" customHeight="1">
      <x:c r="A12" s="14" t="str">
        <x:v>GET</x:v>
      </x:c>
      <x:c r="B12" s="14" t="str">
        <x:v>/api/reservations/{id}</x:v>
      </x:c>
      <x:c r="C12" s="14" t="str">
        <x:v>ReservationRestController</x:v>
      </x:c>
      <x:c r="D12" s="14" t="str">
        <x:v>Detail reservasi</x:v>
      </x:c>
      <x:c r="E12" s="14" t="str">
        <x:v>id</x:v>
      </x:c>
      <x:c r="F12" s="14" t="str">
        <x:v>Reservation / 404</x:v>
      </x:c>
      <x:c r="G12" s="14" t="str">
        <x:v>'Aarif</x:v>
      </x:c>
      <x:c r="H12" s="14" t="str">
        <x:v>Cari by reservationId.</x:v>
      </x:c>
    </x:row>
    <x:row r="13" ht="54" customHeight="1">
      <x:c r="A13" s="14" t="str">
        <x:v>POST</x:v>
      </x:c>
      <x:c r="B13" s="14" t="str">
        <x:v>/api/reservations</x:v>
      </x:c>
      <x:c r="C13" s="14" t="str">
        <x:v>ReservationRestController</x:v>
      </x:c>
      <x:c r="D13" s="14" t="str">
        <x:v>Ajukan reservasi</x:v>
      </x:c>
      <x:c r="E13" s="14" t="str">
        <x:v>roomId, tanggal, jamMulai, jamSelesai, tujuan</x:v>
      </x:c>
      <x:c r="F13" s="14" t="str">
        <x:v>201 Created / 400</x:v>
      </x:c>
      <x:c r="G13" s="14" t="str">
        <x:v>Ali/'Aarif</x:v>
      </x:c>
      <x:c r="H13" s="14" t="str">
        <x:v>Service cek waktu dan availability.</x:v>
      </x:c>
    </x:row>
    <x:row r="14" ht="54" customHeight="1">
      <x:c r="A14" s="14" t="str">
        <x:v>POST</x:v>
      </x:c>
      <x:c r="B14" s="14" t="str">
        <x:v>/api/reservations/{id}/cancel</x:v>
      </x:c>
      <x:c r="C14" s="14" t="str">
        <x:v>ReservationRestController</x:v>
      </x:c>
      <x:c r="D14" s="14" t="str">
        <x:v>Batalkan reservasi</x:v>
      </x:c>
      <x:c r="E14" s="14" t="str">
        <x:v>id, alasan</x:v>
      </x:c>
      <x:c r="F14" s="14" t="str">
        <x:v>200 / 400</x:v>
      </x:c>
      <x:c r="G14" s="14" t="str">
        <x:v>Ali/'Aarif</x:v>
      </x:c>
      <x:c r="H14" s="14" t="str">
        <x:v>Status hanya DRAFT/PENDING/APPROVED.</x:v>
      </x:c>
    </x:row>
    <x:row r="15" ht="54" customHeight="1">
      <x:c r="A15" s="14" t="str">
        <x:v>POST</x:v>
      </x:c>
      <x:c r="B15" s="14" t="str">
        <x:v>/api/approvals/{reservationId}/approve</x:v>
      </x:c>
      <x:c r="C15" s="14" t="str">
        <x:v>ApprovalRestController</x:v>
      </x:c>
      <x:c r="D15" s="14" t="str">
        <x:v>Setujui reservasi</x:v>
      </x:c>
      <x:c r="E15" s="14" t="str">
        <x:v>catatan; admin dari session login</x:v>
      </x:c>
      <x:c r="F15" s="14" t="str">
        <x:v>Approval</x:v>
      </x:c>
      <x:c r="G15" s="14" t="str">
        <x:v>'Aarif/Atha</x:v>
      </x:c>
      <x:c r="H15" s="14" t="str">
        <x:v>Ubah status menjadi APPROVED.</x:v>
      </x:c>
    </x:row>
    <x:row r="16" ht="54" customHeight="1">
      <x:c r="A16" s="14" t="str">
        <x:v>POST</x:v>
      </x:c>
      <x:c r="B16" s="14" t="str">
        <x:v>/api/approvals/{reservationId}/reject</x:v>
      </x:c>
      <x:c r="C16" s="14" t="str">
        <x:v>ApprovalRestController</x:v>
      </x:c>
      <x:c r="D16" s="14" t="str">
        <x:v>Tolak reservasi</x:v>
      </x:c>
      <x:c r="E16" s="14" t="str">
        <x:v>catatan; admin dari session login</x:v>
      </x:c>
      <x:c r="F16" s="14" t="str">
        <x:v>Approval</x:v>
      </x:c>
      <x:c r="G16" s="14" t="str">
        <x:v>'Aarif/Atha</x:v>
      </x:c>
      <x:c r="H16" s="14" t="str">
        <x:v>Ubah status menjadi REJECTED.</x:v>
      </x:c>
    </x:row>
    <x:row r="17" ht="54" customHeight="1">
      <x:c r="A17" s="14" t="str">
        <x:v>POST</x:v>
      </x:c>
      <x:c r="B17" s="14" t="str">
        <x:v>/api/approvals/{reservationId}/revision</x:v>
      </x:c>
      <x:c r="C17" s="14" t="str">
        <x:v>ApprovalRestController</x:v>
      </x:c>
      <x:c r="D17" s="14" t="str">
        <x:v>Minta revisi data</x:v>
      </x:c>
      <x:c r="E17" s="14" t="str">
        <x:v>catatan; admin dari session login</x:v>
      </x:c>
      <x:c r="F17" s="14" t="str">
        <x:v>Approval</x:v>
      </x:c>
      <x:c r="G17" s="14" t="str">
        <x:v>'Aarif/Atha</x:v>
      </x:c>
      <x:c r="H17" s="14" t="str">
        <x:v>Simpan keputusan REVISION_REQUESTED dan ubah status reservasi menjadi REJECTED; mahasiswa membuat pengajuan baru.</x:v>
      </x:c>
    </x:row>
    <x:row r="18" ht="54" customHeight="1">
      <x:c r="A18" s="14" t="str">
        <x:v>POST</x:v>
      </x:c>
      <x:c r="B18" s="14" t="str">
        <x:v>/api/access/{reservationId}/check-in</x:v>
      </x:c>
      <x:c r="C18" s="14" t="str">
        <x:v>AccessRestController</x:v>
      </x:c>
      <x:c r="D18" s="14" t="str">
        <x:v>Check-in ruang</x:v>
      </x:c>
      <x:c r="E18" s="14" t="str">
        <x:v>reservationId; satpam dari session login</x:v>
      </x:c>
      <x:c r="F18" s="14" t="str">
        <x:v>AccessRecord</x:v>
      </x:c>
      <x:c r="G18" s="14" t="str">
        <x:v>Tadzkirioh</x:v>
      </x:c>
      <x:c r="H18" s="14" t="str">
        <x:v>Reservasi harus APPROVED.</x:v>
      </x:c>
    </x:row>
    <x:row r="19" ht="54" customHeight="1">
      <x:c r="A19" s="14" t="str">
        <x:v>PUT</x:v>
      </x:c>
      <x:c r="B19" s="14" t="str">
        <x:v>/api/access/{recordId}/check-out</x:v>
      </x:c>
      <x:c r="C19" s="14" t="str">
        <x:v>AccessRestController</x:v>
      </x:c>
      <x:c r="D19" s="14" t="str">
        <x:v>Check-out ruang</x:v>
      </x:c>
      <x:c r="E19" s="14" t="str">
        <x:v>recordId; satpam dari session login</x:v>
      </x:c>
      <x:c r="F19" s="14" t="str">
        <x:v>AccessRecord</x:v>
      </x:c>
      <x:c r="G19" s="14" t="str">
        <x:v>Tadzkirioh</x:v>
      </x:c>
      <x:c r="H19" s="14" t="str">
        <x:v>Status reservasi jadi COMPLETED.</x:v>
      </x:c>
    </x:row>
    <x:row r="20" ht="54" customHeight="1">
      <x:c r="A20" s="14" t="str">
        <x:v>POST</x:v>
      </x:c>
      <x:c r="B20" s="14" t="str">
        <x:v>/api/access/{recordId}/issue</x:v>
      </x:c>
      <x:c r="C20" s="14" t="str">
        <x:v>AccessRestController</x:v>
      </x:c>
      <x:c r="D20" s="14" t="str">
        <x:v>Catat kendala/pelanggaran</x:v>
      </x:c>
      <x:c r="E20" s="14" t="str">
        <x:v>deskripsi</x:v>
      </x:c>
      <x:c r="F20" s="14" t="str">
        <x:v>AccessRecord</x:v>
      </x:c>
      <x:c r="G20" s="14" t="str">
        <x:v>Tadzkirioh</x:v>
      </x:c>
      <x:c r="H20" s="14" t="str">
        <x:v>Extend use case.</x:v>
      </x:c>
    </x:row>
    <x:row r="21" ht="54" customHeight="1">
      <x:c r="A21" s="14" t="str">
        <x:v>GET</x:v>
      </x:c>
      <x:c r="B21" s="14" t="str">
        <x:v>/api/notifications</x:v>
      </x:c>
      <x:c r="C21" s="14" t="str">
        <x:v>NotificationRestController</x:v>
      </x:c>
      <x:c r="D21" s="14" t="str">
        <x:v>List notifikasi</x:v>
      </x:c>
      <x:c r="E21" s="14" t="str">
        <x:v>user login dari session</x:v>
      </x:c>
      <x:c r="F21" s="14" t="str">
        <x:v>List&lt;Notification&gt;</x:v>
      </x:c>
      <x:c r="G21" s="14" t="str">
        <x:v>Ajda</x:v>
      </x:c>
      <x:c r="H21" s="14" t="str">
        <x:v>Riwayat notifikasi.</x:v>
      </x:c>
    </x:row>
    <x:row r="22" ht="54" customHeight="1">
      <x:c r="A22" s="14" t="str">
        <x:v>POST</x:v>
      </x:c>
      <x:c r="B22" s="14" t="str">
        <x:v>/api/notifications</x:v>
      </x:c>
      <x:c r="C22" s="14" t="str">
        <x:v>NotificationRestController</x:v>
      </x:c>
      <x:c r="D22" s="14" t="str">
        <x:v>Kirim notifikasi manual ke user login</x:v>
      </x:c>
      <x:c r="E22" s="14" t="str">
        <x:v>pesan; penerima dari session login</x:v>
      </x:c>
      <x:c r="F22" s="14" t="str">
        <x:v>Notification</x:v>
      </x:c>
      <x:c r="G22" s="14" t="str">
        <x:v>Ajda</x:v>
      </x:c>
      <x:c r="H22" s="14" t="str">
        <x:v>Notifikasi otomatis biasanya dipanggil dari service lain.</x:v>
      </x:c>
    </x:row>
    <x:row r="23" ht="54" customHeight="1">
      <x:c r="A23" s="14" t="str">
        <x:v>PUT</x:v>
      </x:c>
      <x:c r="B23" s="14" t="str">
        <x:v>/api/notifications/{id}/read</x:v>
      </x:c>
      <x:c r="C23" s="14" t="str">
        <x:v>NotificationRestController</x:v>
      </x:c>
      <x:c r="D23" s="14" t="str">
        <x:v>Tandai dibaca</x:v>
      </x:c>
      <x:c r="E23" s="14" t="str">
        <x:v>id</x:v>
      </x:c>
      <x:c r="F23" s="14" t="str">
        <x:v>Notification</x:v>
      </x:c>
      <x:c r="G23" s="14" t="str">
        <x:v>Ajda</x:v>
      </x:c>
      <x:c r="H23" s="14" t="str">
        <x:v>statusBaca=true.</x:v>
      </x:c>
    </x:row>
  </x:sheetData>
  <x:pageMargins left="0.7" right="0.7" top="0.75" bottom="0.75" header="0.3" footer="0.3"/>
  <x:tableParts count="1">
    <x:tablePart xmlns:r="http://schemas.openxmlformats.org/officeDocument/2006/relationships" r:id="Rf4337ed71d3341e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32" hidden="0" customWidth="1"/>
    <x:col min="4" max="4" width="48" hidden="0" customWidth="1"/>
    <x:col min="5" max="5" width="62" hidden="0" customWidth="1"/>
    <x:col min="6" max="6" width="22" hidden="0" customWidth="1"/>
    <x:col min="7" max="7" width="42" hidden="0" customWidth="1"/>
  </x:cols>
  <x:sheetData>
    <x:row r="1" ht="30" customHeight="1">
      <x:c r="A1" s="6" t="str">
        <x:v>File HTML/Template</x:v>
      </x:c>
      <x:c r="B1" s="6" t="str">
        <x:v>Route</x:v>
      </x:c>
      <x:c r="C1" s="6" t="str">
        <x:v>Controller Method</x:v>
      </x:c>
      <x:c r="D1" s="6" t="str">
        <x:v>Isi Minimal</x:v>
      </x:c>
      <x:c r="E1" s="16" t="str">
        <x:v>Starter Code Ringkas</x:v>
      </x:c>
      <x:c r="F1" s="6" t="str">
        <x:v>Owner</x:v>
      </x:c>
      <x:c r="G1" s="6" t="str">
        <x:v>Catatan</x:v>
      </x:c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110" customHeight="1">
      <x:c r="A2" s="14" t="str">
        <x:v>templates/mahasiswa/index.html</x:v>
      </x:c>
      <x:c r="B2" s="14" t="str">
        <x:v>GET /</x:v>
      </x:c>
      <x:c r="C2" s="14" t="str">
        <x:v>public String home()</x:v>
      </x:c>
      <x:c r="D2" s="14" t="str">
        <x:v>Judul aplikasi, link registrasi, dashboard, rooms, ajukan reservasi.</x:v>
      </x:c>
      <x:c r="E2" s="14" t="str">
        <x:v>&lt;h1&gt;Sistem Reservasi Ruang&lt;/h1&gt;
&lt;a href="/registrasi"&gt;Registrasi&lt;/a&gt;
&lt;a href="/dashboard"&gt;Dashboard&lt;/a&gt;</x:v>
      </x:c>
      <x:c r="F2" s="14" t="str">
        <x:v>Amelia</x:v>
      </x:c>
      <x:c r="G2" s="14" t="str">
        <x:v>Adaptasi dari index.html dosen.</x:v>
      </x:c>
    </x:row>
    <x:row r="3" ht="110" customHeight="1">
      <x:c r="A3" s="14" t="str">
        <x:v>templates/mahasiswa/registrasi.html</x:v>
      </x:c>
      <x:c r="B3" s="14" t="str">
        <x:v>GET/POST /registrasi</x:v>
      </x:c>
      <x:c r="C3" s="14" t="str">
        <x:v>registrasi(), registrasiPost()</x:v>
      </x:c>
      <x:c r="D3" s="14" t="str">
        <x:v>Form nama, email, nim, prodi, angkatan.</x:v>
      </x:c>
      <x:c r="E3" s="14" t="str">
        <x:v>&lt;form action="/registrasi" method="post"&gt;
  &lt;input name="nama" placeholder="Nama"&gt;
  &lt;input name="email" placeholder="Email"&gt;
  &lt;input name="nim" placeholder="NIM"&gt;
  &lt;button type="submit"&gt;Registrasi&lt;/button&gt;
&lt;/form&gt;</x:v>
      </x:c>
      <x:c r="F3" s="14" t="str">
        <x:v>Amelia</x:v>
      </x:c>
      <x:c r="G3" s="14" t="str">
        <x:v>Adaptasi dari registrasi.html.</x:v>
      </x:c>
    </x:row>
    <x:row r="4" ht="110" customHeight="1">
      <x:c r="A4" s="14" t="str">
        <x:v>templates/{mahasiswa|admin|satpam}/dashboard.html</x:v>
      </x:c>
      <x:c r="B4" s="14" t="str">
        <x:v>GET /dashboard</x:v>
      </x:c>
      <x:c r="C4" s="14" t="str">
        <x:v>dashboard()</x:v>
      </x:c>
      <x:c r="D4" s="14" t="str">
        <x:v>Menu fitur per aktor.</x:v>
      </x:c>
      <x:c r="E4" s="14" t="str">
        <x:v>&lt;h1&gt;Dashboard&lt;/h1&gt;
&lt;a href="/rooms"&gt;Ruang&lt;/a&gt;
&lt;a href="/reservasi"&gt;Ajukan Reservasi&lt;/a&gt;
&lt;a href="/admin/approval"&gt;Approval&lt;/a&gt;</x:v>
      </x:c>
      <x:c r="F4" s="14" t="str">
        <x:v>Amelia/Semua</x:v>
      </x:c>
      <x:c r="G4" s="14" t="str">
        <x:v>Adaptasi dari dashboard.html.</x:v>
      </x:c>
    </x:row>
    <x:row r="5" ht="110" customHeight="1">
      <x:c r="A5" s="14" t="str">
        <x:v>templates/{mahasiswa|admin}/rooms.html</x:v>
      </x:c>
      <x:c r="B5" s="14" t="str">
        <x:v>GET /rooms</x:v>
      </x:c>
      <x:c r="C5" s="14" t="str">
        <x:v>rooms()</x:v>
      </x:c>
      <x:c r="D5" s="14" t="str">
        <x:v>Tabel ruang: nama, gedung, kapasitas, status.</x:v>
      </x:c>
      <x:c r="E5" s="14" t="str">
        <x:v>&lt;table&gt;
  &lt;tr&gt;&lt;th&gt;Ruang&lt;/th&gt;&lt;th&gt;Gedung&lt;/th&gt;&lt;th&gt;Kapasitas&lt;/th&gt;&lt;/tr&gt;
&lt;/table&gt;</x:v>
      </x:c>
      <x:c r="F5" s="14" t="str">
        <x:v>Ali</x:v>
      </x:c>
      <x:c r="G5" s="14" t="str">
        <x:v>Bisa fetch API dengan JS sederhana atau Thymeleaf.</x:v>
      </x:c>
    </x:row>
    <x:row r="6" ht="110" customHeight="1">
      <x:c r="A6" s="14" t="str">
        <x:v>templates/mahasiswa/reservation-form.html</x:v>
      </x:c>
      <x:c r="B6" s="14" t="str">
        <x:v>GET /reservasi</x:v>
      </x:c>
      <x:c r="C6" s="14" t="str">
        <x:v>reservationForm()</x:v>
      </x:c>
      <x:c r="D6" s="14" t="str">
        <x:v>Form pilih ruang, tanggal, jam mulai, jam selesai, tujuan.</x:v>
      </x:c>
      <x:c r="E6" s="14" t="str">
        <x:v>&lt;form action="/api/reservations" method="post"&gt;
  &lt;input name="roomId"&gt;
  &lt;input type="date" name="tanggal"&gt;
  &lt;input type="time" name="jamMulai"&gt;
  &lt;button&gt;Ajukan&lt;/button&gt;
&lt;/form&gt;</x:v>
      </x:c>
      <x:c r="F6" s="14" t="str">
        <x:v>Ali/'Aarif</x:v>
      </x:c>
      <x:c r="G6" s="14" t="str">
        <x:v>Jika pakai form biasa, controller web perlu handle POST.</x:v>
      </x:c>
    </x:row>
    <x:row r="7" ht="110" customHeight="1">
      <x:c r="A7" s="14" t="str">
        <x:v>templates/{mahasiswa|admin}/reservation-history.html</x:v>
      </x:c>
      <x:c r="B7" s="14" t="str">
        <x:v>GET /reservasi/history</x:v>
      </x:c>
      <x:c r="C7" s="14" t="str">
        <x:v>reservationHistory()</x:v>
      </x:c>
      <x:c r="D7" s="14" t="str">
        <x:v>Tabel status dan riwayat reservasi.</x:v>
      </x:c>
      <x:c r="E7" s="14" t="str">
        <x:v>&lt;h1&gt;Riwayat Reservasi&lt;/h1&gt;
&lt;table id="reservationTable"&gt;&lt;/table&gt;</x:v>
      </x:c>
      <x:c r="F7" s="14" t="str">
        <x:v>'Aarif</x:v>
      </x:c>
      <x:c r="G7" s="14" t="str">
        <x:v>Use case lihat status.</x:v>
      </x:c>
    </x:row>
    <x:row r="8" ht="110" customHeight="1">
      <x:c r="A8" s="14" t="str">
        <x:v>templates/admin/approval.html</x:v>
      </x:c>
      <x:c r="B8" s="14" t="str">
        <x:v>GET /admin/approval</x:v>
      </x:c>
      <x:c r="C8" s="14" t="str">
        <x:v>approvalPage()</x:v>
      </x:c>
      <x:c r="D8" s="14" t="str">
        <x:v>List reservasi pending + tombol approve/reject/revision.</x:v>
      </x:c>
      <x:c r="E8" s="14" t="str">
        <x:v>&lt;button&gt;Setujui&lt;/button&gt;
&lt;button&gt;Tolak&lt;/button&gt;
&lt;button&gt;Minta Revisi&lt;/button&gt;</x:v>
      </x:c>
      <x:c r="F8" s="14" t="str">
        <x:v>Atha/'Aarif</x:v>
      </x:c>
      <x:c r="G8" s="14" t="str">
        <x:v>Admin flow.</x:v>
      </x:c>
    </x:row>
    <x:row r="9" ht="110" customHeight="1">
      <x:c r="A9" s="14" t="str">
        <x:v>templates/satpam/access.html dan satpam/reservations.html</x:v>
      </x:c>
      <x:c r="B9" s="14" t="str">
        <x:v>GET /satpam/access</x:v>
      </x:c>
      <x:c r="C9" s="14" t="str">
        <x:v>accessPage()</x:v>
      </x:c>
      <x:c r="D9" s="14" t="str">
        <x:v>Input reservationId / recordId; tombol check-in/check-out; catat kendala.</x:v>
      </x:c>
      <x:c r="E9" s="14" t="str">
        <x:v>&lt;button&gt;Check-in&lt;/button&gt;
&lt;button&gt;Check-out&lt;/button&gt;
&lt;textarea name="kendala"&gt;&lt;/textarea&gt;</x:v>
      </x:c>
      <x:c r="F9" s="14" t="str">
        <x:v>Tadzkirioh</x:v>
      </x:c>
      <x:c r="G9" s="14" t="str">
        <x:v>Satpam flow.</x:v>
      </x:c>
    </x:row>
    <x:row r="10" ht="110" customHeight="1">
      <x:c r="A10" s="14" t="str">
        <x:v>templates/{mahasiswa|admin|satpam}/notifications.html</x:v>
      </x:c>
      <x:c r="B10" s="14" t="str">
        <x:v>GET /notifications</x:v>
      </x:c>
      <x:c r="C10" s="14" t="str">
        <x:v>notificationsPage()</x:v>
      </x:c>
      <x:c r="D10" s="14" t="str">
        <x:v>List notifikasi + tandai dibaca.</x:v>
      </x:c>
      <x:c r="E10" s="14" t="str">
        <x:v>&lt;h1&gt;Notifikasi&lt;/h1&gt;
&lt;ul id="notifications"&gt;&lt;/ul&gt;</x:v>
      </x:c>
      <x:c r="F10" s="14" t="str">
        <x:v>Ajda</x:v>
      </x:c>
      <x:c r="G10" s="14" t="str">
        <x:v>Frontend notifikasi.</x:v>
      </x:c>
    </x:row>
    <x:row r="11" ht="110" customHeight="1">
      <x:c r="A11" s="14" t="str">
        <x:v>static/css/style.css dan static/js/**</x:v>
      </x:c>
      <x:c r="B11" s="14" t="str">
        <x:v>-</x:v>
      </x:c>
      <x:c r="C11" s="14" t="str">
        <x:v>-</x:v>
      </x:c>
      <x:c r="D11" s="14" t="str">
        <x:v>Style sederhana: layout, tabel, button.</x:v>
      </x:c>
      <x:c r="E11" s="14" t="str">
        <x:v>body { font-family: Arial, sans-serif; margin: 24px; }
table { border-collapse: collapse; width: 100%; }
th, td { border: 1px solid #ddd; padding: 8px; }</x:v>
      </x:c>
      <x:c r="F11" s="14" t="str">
        <x:v>Semua</x:v>
      </x:c>
      <x:c r="G11" s="14" t="str">
        <x:v>Opsional.</x:v>
      </x:c>
    </x:row>
  </x:sheetData>
  <x:pageMargins left="0.7" right="0.7" top="0.75" bottom="0.75" header="0.3" footer="0.3"/>
  <x:tableParts count="1">
    <x:tablePart xmlns:r="http://schemas.openxmlformats.org/officeDocument/2006/relationships" r:id="R7b3bcc2e29924b5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4" hidden="0" customWidth="1"/>
    <x:col min="3" max="3" width="90" hidden="0" customWidth="1"/>
    <x:col min="4" max="4" width="56" hidden="0" customWidth="1"/>
  </x:cols>
  <x:sheetData>
    <x:row r="1" ht="30" customHeight="1">
      <x:c r="A1" s="6" t="str">
        <x:v>File</x:v>
      </x:c>
      <x:c r="B1" s="6" t="str">
        <x:v>Setting</x:v>
      </x:c>
      <x:c r="C1" s="16" t="str">
        <x:v>Isi Starter</x:v>
      </x:c>
      <x:c r="D1" s="6" t="str">
        <x:v>Catatan</x:v>
      </x:c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220" customHeight="1">
      <x:c r="A2" s="14" t="str">
        <x:v>pom.xml</x:v>
      </x:c>
      <x:c r="B2" s="14" t="str">
        <x:v>Maven + Java + Jar + dependencies</x:v>
      </x:c>
      <x:c r="C2" s="14" t="str">
        <x:v>&lt;dependencies&gt;
  &lt;dependency&gt;spring-boot-starter-thymeleaf&lt;/dependency&gt;
  &lt;dependency&gt;spring-boot-starter-validation&lt;/dependency&gt;
  &lt;dependency&gt;spring-boot-starter-webmvc&lt;/dependency&gt;
  &lt;dependency&gt;spring-boot-starter-jdbc&lt;/dependency&gt;
  &lt;dependency&gt;spring-boot-starter-data-jpa&lt;/dependency&gt;
  &lt;dependency&gt;spring-boot-starter-flyway&lt;/dependency&gt;
  &lt;dependency&gt;spring-boot-starter-security&lt;/dependency&gt;
  &lt;dependency&gt;flyway-mysql&lt;/dependency&gt;
  &lt;dependency&gt;mysql-connector-j (runtime)&lt;/dependency&gt;
  &lt;dependency&gt;h2 (test)&lt;/dependency&gt;
&lt;/dependencies&gt;</x:v>
      </x:c>
      <x:c r="D2" s="14" t="str">
        <x:v>Starter aktual memakai MariaDB/MySQL + Flyway. JPA dipakai untuk login starter dan Spring JDBC disiapkan eksplisit untuk repository fitur.</x:v>
      </x:c>
    </x:row>
    <x:row r="3" ht="220" customHeight="1">
      <x:c r="A3" s="14" t="str">
        <x:v>src/main/resources/application.properties</x:v>
      </x:c>
      <x:c r="B3" s="14" t="str">
        <x:v>Application properties</x:v>
      </x:c>
      <x:c r="C3" s="14" t="str">
        <x:v>spring.datasource.url=${DB_URL:jdbc:mysql://localhost:3306/reservasi_ruang?...}
spring.datasource.driver-class-name=com.mysql.cj.jdbc.Driver
spring.jpa.hibernate.ddl-auto=validate
app.starter-users.enabled=true</x:v>
      </x:c>
      <x:c r="D3" s="14" t="str">
        <x:v>Datasource utama MariaDB/MySQL; akun starter dapat dioverride melalui environment variable. H2 hanya ada pada application-test.properties.</x:v>
      </x:c>
    </x:row>
    <x:row r="4" ht="220" customHeight="1">
      <x:c r="A4" s="14" t="str">
        <x:v>Spring Initializr</x:v>
      </x:c>
      <x:c r="B4" s="14" t="str">
        <x:v>Project setup</x:v>
      </x:c>
      <x:c r="C4" s="14" t="str">
        <x:v>Project: Maven
Language: Java
Spring Boot: 3.x
Group: com.tup
Artifact: reservasi
Name: reservasi
Package name: com.tup.reservasi
Packaging: Jar
Java: 17+</x:v>
      </x:c>
      <x:c r="D4" s="14" t="str">
        <x:v>Dependencies aktual: Thymeleaf, Validation, WebMVC, JDBC, Security, H2, DevTools, dan test starters.</x:v>
      </x:c>
    </x:row>
  </x:sheetData>
  <x:pageMargins left="0.7" right="0.7" top="0.75" bottom="0.75" header="0.3" footer="0.3"/>
  <x:tableParts count="1">
    <x:tablePart xmlns:r="http://schemas.openxmlformats.org/officeDocument/2006/relationships" r:id="R5ddcdb87579d4b7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  <x:col min="3" max="3" width="24" hidden="0" customWidth="1"/>
    <x:col min="4" max="4" width="24" hidden="0" customWidth="1"/>
    <x:col min="5" max="5" width="12" hidden="0" customWidth="1"/>
    <x:col min="6" max="6" width="16" hidden="0" customWidth="1"/>
    <x:col min="7" max="7" width="35" hidden="0" customWidth="1"/>
    <x:col min="8" max="8" width="45" hidden="0" customWidth="1"/>
  </x:cols>
  <x:sheetData>
    <x:row r="1" ht="30" customHeight="1">
      <x:c r="A1" s="6" t="str">
        <x:v>ID</x:v>
      </x:c>
      <x:c r="B1" s="6" t="str">
        <x:v>Task</x:v>
      </x:c>
      <x:c r="C1" s="6" t="str">
        <x:v>Owner</x:v>
      </x:c>
      <x:c r="D1" s="6" t="str">
        <x:v>Modul</x:v>
      </x:c>
      <x:c r="E1" s="6" t="str">
        <x:v>Prioritas</x:v>
      </x:c>
      <x:c r="F1" s="6" t="str">
        <x:v>Status</x:v>
      </x:c>
      <x:c r="G1" s="6" t="str">
        <x:v>Bukti Selesai</x:v>
      </x:c>
      <x:c r="H1" s="6" t="str">
        <x:v>Catatan Review</x:v>
      </x:c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58" customHeight="1">
      <x:c r="A2" s="14" t="str">
        <x:v>T-001</x:v>
      </x:c>
      <x:c r="B2" s="14" t="str">
        <x:v>Buat project Spring Boot dengan package com.tup.reservasi</x:v>
      </x:c>
      <x:c r="C2" s="14" t="str">
        <x:v>Semua</x:v>
      </x:c>
      <x:c r="D2" s="14" t="str">
        <x:v>Setup</x:v>
      </x:c>
      <x:c r="E2" s="14" t="str">
        <x:v>P0</x:v>
      </x:c>
      <x:c r="F2" s="14" t="str">
        <x:v>To Do</x:v>
      </x:c>
      <x:c r="G2" s="14" t="str">
        <x:v>File placeholder tersedia</x:v>
      </x:c>
      <x:c r="H2" s="14" t="str">
        <x:v>Isi implementasi dan test sesuai owner; jangan klaim selesai sebelum fitur terverifikasi.</x:v>
      </x:c>
    </x:row>
    <x:row r="3" ht="58" customHeight="1">
      <x:c r="A3" s="14" t="str">
        <x:v>T-002</x:v>
      </x:c>
      <x:c r="B3" s="14" t="str">
        <x:v>Buat entity User dan Mahasiswa lengkap getter/setter</x:v>
      </x:c>
      <x:c r="C3" s="14" t="str">
        <x:v>Amelia</x:v>
      </x:c>
      <x:c r="D3" s="14" t="str">
        <x:v>User/Mahasiswa</x:v>
      </x:c>
      <x:c r="E3" s="14" t="str">
        <x:v>P0</x:v>
      </x:c>
      <x:c r="F3" s="14" t="str">
        <x:v>To Do</x:v>
      </x:c>
      <x:c r="G3" s="14" t="str">
        <x:v>File placeholder tersedia</x:v>
      </x:c>
      <x:c r="H3" s="14" t="str">
        <x:v>Isi implementasi dan test sesuai owner; jangan klaim selesai sebelum fitur terverifikasi.</x:v>
      </x:c>
    </x:row>
    <x:row r="4" ht="58" customHeight="1">
      <x:c r="A4" s="14" t="str">
        <x:v>T-003</x:v>
      </x:c>
      <x:c r="B4" s="14" t="str">
        <x:v>Buat Room + RoomRestController</x:v>
      </x:c>
      <x:c r="C4" s="14" t="str">
        <x:v>Ali</x:v>
      </x:c>
      <x:c r="D4" s="14" t="str">
        <x:v>Room</x:v>
      </x:c>
      <x:c r="E4" s="14" t="str">
        <x:v>P0</x:v>
      </x:c>
      <x:c r="F4" s="14" t="str">
        <x:v>To Do</x:v>
      </x:c>
      <x:c r="G4" s="14" t="str">
        <x:v>File placeholder tersedia</x:v>
      </x:c>
      <x:c r="H4" s="14" t="str">
        <x:v>Isi implementasi dan test sesuai owner; jangan klaim selesai sebelum fitur terverifikasi.</x:v>
      </x:c>
    </x:row>
    <x:row r="5" ht="58" customHeight="1">
      <x:c r="A5" s="14" t="str">
        <x:v>T-004</x:v>
      </x:c>
      <x:c r="B5" s="14" t="str">
        <x:v>Buat Reservation + ReservationStatus</x:v>
      </x:c>
      <x:c r="C5" s="14" t="str">
        <x:v>'Aarif</x:v>
      </x:c>
      <x:c r="D5" s="14" t="str">
        <x:v>Reservation</x:v>
      </x:c>
      <x:c r="E5" s="14" t="str">
        <x:v>P0</x:v>
      </x:c>
      <x:c r="F5" s="14" t="str">
        <x:v>To Do</x:v>
      </x:c>
      <x:c r="G5" s="14" t="str">
        <x:v>File placeholder tersedia</x:v>
      </x:c>
      <x:c r="H5" s="14" t="str">
        <x:v>Isi implementasi dan test sesuai owner; jangan klaim selesai sebelum fitur terverifikasi.</x:v>
      </x:c>
    </x:row>
    <x:row r="6" ht="58" customHeight="1">
      <x:c r="A6" s="14" t="str">
        <x:v>T-005</x:v>
      </x:c>
      <x:c r="B6" s="14" t="str">
        <x:v>Buat ReservationService create/cancel/availability</x:v>
      </x:c>
      <x:c r="C6" s="14" t="str">
        <x:v>Ali</x:v>
      </x:c>
      <x:c r="D6" s="14" t="str">
        <x:v>ReservationService</x:v>
      </x:c>
      <x:c r="E6" s="14" t="str">
        <x:v>P0</x:v>
      </x:c>
      <x:c r="F6" s="14" t="str">
        <x:v>To Do</x:v>
      </x:c>
      <x:c r="G6" s="14" t="str">
        <x:v>File placeholder tersedia</x:v>
      </x:c>
      <x:c r="H6" s="14" t="str">
        <x:v>Isi implementasi dan test sesuai owner; jangan klaim selesai sebelum fitur terverifikasi.</x:v>
      </x:c>
    </x:row>
    <x:row r="7" ht="58" customHeight="1">
      <x:c r="A7" s="14" t="str">
        <x:v>T-006</x:v>
      </x:c>
      <x:c r="B7" s="14" t="str">
        <x:v>Buat Approval + ApprovalDecision + ApprovalService</x:v>
      </x:c>
      <x:c r="C7" s="14" t="str">
        <x:v>'Aarif</x:v>
      </x:c>
      <x:c r="D7" s="14" t="str">
        <x:v>Approval</x:v>
      </x:c>
      <x:c r="E7" s="14" t="str">
        <x:v>P0</x:v>
      </x:c>
      <x:c r="F7" s="14" t="str">
        <x:v>To Do</x:v>
      </x:c>
      <x:c r="G7" s="14" t="str">
        <x:v>File placeholder tersedia</x:v>
      </x:c>
      <x:c r="H7" s="14" t="str">
        <x:v>Isi implementasi dan test sesuai owner; jangan klaim selesai sebelum fitur terverifikasi.</x:v>
      </x:c>
    </x:row>
    <x:row r="8" ht="58" customHeight="1">
      <x:c r="A8" s="14" t="str">
        <x:v>T-007</x:v>
      </x:c>
      <x:c r="B8" s="14" t="str">
        <x:v>Buat Admin + Notifiable</x:v>
      </x:c>
      <x:c r="C8" s="14" t="str">
        <x:v>Atha</x:v>
      </x:c>
      <x:c r="D8" s="14" t="str">
        <x:v>Admin</x:v>
      </x:c>
      <x:c r="E8" s="14" t="str">
        <x:v>P1</x:v>
      </x:c>
      <x:c r="F8" s="14" t="str">
        <x:v>To Do</x:v>
      </x:c>
      <x:c r="G8" s="14" t="str">
        <x:v>File placeholder tersedia</x:v>
      </x:c>
      <x:c r="H8" s="14" t="str">
        <x:v>Isi implementasi dan test sesuai owner; jangan klaim selesai sebelum fitur terverifikasi.</x:v>
      </x:c>
    </x:row>
    <x:row r="9" ht="58" customHeight="1">
      <x:c r="A9" s="14" t="str">
        <x:v>T-008</x:v>
      </x:c>
      <x:c r="B9" s="14" t="str">
        <x:v>Buat AccessRecord + AccessControlService</x:v>
      </x:c>
      <x:c r="C9" s="14" t="str">
        <x:v>Tadzkirioh</x:v>
      </x:c>
      <x:c r="D9" s="14" t="str">
        <x:v>Access</x:v>
      </x:c>
      <x:c r="E9" s="14" t="str">
        <x:v>P1</x:v>
      </x:c>
      <x:c r="F9" s="14" t="str">
        <x:v>To Do</x:v>
      </x:c>
      <x:c r="G9" s="14" t="str">
        <x:v>File placeholder tersedia</x:v>
      </x:c>
      <x:c r="H9" s="14" t="str">
        <x:v>Isi implementasi dan test sesuai owner; jangan klaim selesai sebelum fitur terverifikasi.</x:v>
      </x:c>
    </x:row>
    <x:row r="10" ht="58" customHeight="1">
      <x:c r="A10" s="14" t="str">
        <x:v>T-009</x:v>
      </x:c>
      <x:c r="B10" s="14" t="str">
        <x:v>Buat Notification + NotificationService</x:v>
      </x:c>
      <x:c r="C10" s="14" t="str">
        <x:v>Ajda</x:v>
      </x:c>
      <x:c r="D10" s="14" t="str">
        <x:v>Notification</x:v>
      </x:c>
      <x:c r="E10" s="14" t="str">
        <x:v>P1</x:v>
      </x:c>
      <x:c r="F10" s="14" t="str">
        <x:v>To Do</x:v>
      </x:c>
      <x:c r="G10" s="14" t="str">
        <x:v>File placeholder tersedia</x:v>
      </x:c>
      <x:c r="H10" s="14" t="str">
        <x:v>Isi implementasi dan test sesuai owner; jangan klaim selesai sebelum fitur terverifikasi.</x:v>
      </x:c>
    </x:row>
    <x:row r="11" ht="58" customHeight="1">
      <x:c r="A11" s="14" t="str">
        <x:v>T-010</x:v>
      </x:c>
      <x:c r="B11" s="14" t="str">
        <x:v>Buat PageController dan template dasar</x:v>
      </x:c>
      <x:c r="C11" s="14" t="str">
        <x:v>Amelia/Semua</x:v>
      </x:c>
      <x:c r="D11" s="14" t="str">
        <x:v>Frontend MVC</x:v>
      </x:c>
      <x:c r="E11" s="14" t="str">
        <x:v>P1</x:v>
      </x:c>
      <x:c r="F11" s="14" t="str">
        <x:v>To Do</x:v>
      </x:c>
      <x:c r="G11" s="14" t="str">
        <x:v>File placeholder tersedia</x:v>
      </x:c>
      <x:c r="H11" s="14" t="str">
        <x:v>Isi implementasi dan test sesuai owner; jangan klaim selesai sebelum fitur terverifikasi.</x:v>
      </x:c>
    </x:row>
    <x:row r="12" ht="58" customHeight="1">
      <x:c r="A12" s="14" t="str">
        <x:v>T-011</x:v>
      </x:c>
      <x:c r="B12" s="14" t="str">
        <x:v>Tambahkan exception handling minimal</x:v>
      </x:c>
      <x:c r="C12" s="14" t="str">
        <x:v>Semua</x:v>
      </x:c>
      <x:c r="D12" s="14" t="str">
        <x:v>Exception</x:v>
      </x:c>
      <x:c r="E12" s="14" t="str">
        <x:v>P2</x:v>
      </x:c>
      <x:c r="F12" s="14" t="str">
        <x:v>To Do</x:v>
      </x:c>
      <x:c r="G12" s="14" t="str">
        <x:v>File placeholder tersedia</x:v>
      </x:c>
      <x:c r="H12" s="14" t="str">
        <x:v>Isi implementasi dan test sesuai owner; jangan klaim selesai sebelum fitur terverifikasi.</x:v>
      </x:c>
    </x:row>
    <x:row r="13" ht="58" customHeight="1">
      <x:c r="A13" s="14" t="str">
        <x:v>T-012</x:v>
      </x:c>
      <x:c r="B13" s="14" t="str">
        <x:v>Rapikan README project dan cara run</x:v>
      </x:c>
      <x:c r="C13" s="14" t="str">
        <x:v>Semua</x:v>
      </x:c>
      <x:c r="D13" s="14" t="str">
        <x:v>Dokumentasi</x:v>
      </x:c>
      <x:c r="E13" s="14" t="str">
        <x:v>P2</x:v>
      </x:c>
      <x:c r="F13" s="14" t="str">
        <x:v>To Do</x:v>
      </x:c>
      <x:c r="G13" s="14" t="str">
        <x:v>File placeholder tersedia</x:v>
      </x:c>
      <x:c r="H13" s="14" t="str">
        <x:v>Isi implementasi dan test sesuai owner; jangan klaim selesai sebelum fitur terverifikasi.</x:v>
      </x:c>
    </x:row>
  </x:sheetData>
  <x:conditionalFormatting sqref="F2:F50">
    <x:cfRule type="expression" dxfId="0" priority="1">
      <x:formula>F2="Done"</x:formula>
    </x:cfRule>
    <x:cfRule type="expression" dxfId="1" priority="2">
      <x:formula>F2="Blocked"</x:formula>
    </x:cfRule>
    <x:cfRule type="expression" dxfId="2" priority="3">
      <x:formula>F2="Doing"</x:formula>
    </x:cfRule>
  </x:conditionalFormatting>
  <x:dataValidations count="2">
    <x:dataValidation type="list" sqref="F2:F50">
      <x:formula1>"To Do,Doing,Done,Blocked"</x:formula1>
    </x:dataValidation>
    <x:dataValidation type="list" sqref="E2:E5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d099db922a46d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2" hidden="0" customWidth="1"/>
    <x:col min="3" max="3" width="58" hidden="0" customWidth="1"/>
  </x:cols>
  <x:sheetData>
    <x:row r="1" ht="30" customHeight="1">
      <x:c r="A1" s="6" t="str">
        <x:v>Sumber</x:v>
      </x:c>
      <x:c r="B1" s="6" t="str">
        <x:v>Dipakai Untuk</x:v>
      </x:c>
      <x:c r="C1" s="6" t="str">
        <x:v>Catatan</x:v>
      </x:c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52" customHeight="1">
      <x:c r="A2" s="14" t="str">
        <x:v>BLUEPRINT.txt</x:v>
      </x:c>
      <x:c r="B2" s="14" t="str">
        <x:v>Domain sistem, aktor, objek utama, class diagram, use case, status, rules bisnis.</x:v>
      </x:c>
      <x:c r="C2" s="14" t="str">
        <x:v>Menjadi dasar semua fitur dan struktur file.</x:v>
      </x:c>
    </x:row>
    <x:row r="3" ht="52" customHeight="1">
      <x:c r="A3" s="14" t="str">
        <x:v>Gambar pembagian jobdesk</x:v>
      </x:c>
      <x:c r="B3" s="14" t="str">
        <x:v>Nama anggota dan modul per orang.</x:v>
      </x:c>
      <x:c r="C3" s="14" t="str">
        <x:v>Diterjemahkan ke sheet Jobdesk_6_Orang.</x:v>
      </x:c>
    </x:row>
    <x:row r="4" ht="52" customHeight="1">
      <x:c r="A4" s="14" t="str">
        <x:v>Student.java</x:v>
      </x:c>
      <x:c r="B4" s="14" t="str">
        <x:v>Contoh entity Java: private field, constructor kosong/parameter, getter/setter.</x:v>
      </x:c>
      <x:c r="C4" s="14" t="str">
        <x:v>Dijadikan pola starter entity.</x:v>
      </x:c>
    </x:row>
    <x:row r="5" ht="52" customHeight="1">
      <x:c r="A5" s="14" t="str">
        <x:v>StudentRestController.java</x:v>
      </x:c>
      <x:c r="B5" s="14" t="str">
        <x:v>Contoh awal REST Controller dengan static dummy data; implementasi akhir memakai repository Spring JDBC.</x:v>
      </x:c>
      <x:c r="C5" s="14" t="str">
        <x:v>Pola endpoint dipertahankan, sedangkan penyimpanan ditingkatkan ke H2.</x:v>
      </x:c>
    </x:row>
    <x:row r="6" ht="52" customHeight="1">
      <x:c r="A6" s="14" t="str">
        <x:v>StudentController.java</x:v>
      </x:c>
      <x:c r="B6" s="14" t="str">
        <x:v>Contoh MVC Controller: return template, route GET/POST, @RequestParam.</x:v>
      </x:c>
      <x:c r="C6" s="14" t="str">
        <x:v>Dijadikan pola PageController.</x:v>
      </x:c>
    </x:row>
    <x:row r="7" ht="52" customHeight="1">
      <x:c r="A7" s="14" t="str">
        <x:v>index.html, registrasi.html, dashboard.html</x:v>
      </x:c>
      <x:c r="B7" s="14" t="str">
        <x:v>Contoh HTML sederhana.</x:v>
      </x:c>
      <x:c r="C7" s="14" t="str">
        <x:v>Dijadikan pola frontend starter.</x:v>
      </x:c>
    </x:row>
  </x:sheetData>
  <x:pageMargins left="0.7" right="0.7" top="0.75" bottom="0.75" header="0.3" footer="0.3"/>
  <x:tableParts count="1">
    <x:tablePart xmlns:r="http://schemas.openxmlformats.org/officeDocument/2006/relationships" r:id="R7cc416395d18408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64" hidden="0" customWidth="1"/>
  </x:cols>
  <x:sheetData>
    <x:row r="1">
      <x:c r="A1" s="47" t="str">
        <x:v>STARTER AKTUAL - 2 JUNI 2026</x:v>
      </x:c>
      <x:c r="B1" s="47" t="str"/>
      <x:c r="C1" s="47" t="str"/>
      <x:c r="D1" s="47" t="str"/>
    </x:row>
    <x:row r="2">
      <x:c r="A2" s="48" t="str">
        <x:v>Area</x:v>
      </x:c>
      <x:c r="B2" s="48" t="str">
        <x:v>Status</x:v>
      </x:c>
      <x:c r="C2" s="48" t="str">
        <x:v>Lokasi</x:v>
      </x:c>
      <x:c r="D2" s="48" t="str">
        <x:v>Catatan</x:v>
      </x:c>
    </x:row>
    <x:row r="3">
      <x:c r="A3" s="49" t="str">
        <x:v>Database utama</x:v>
      </x:c>
      <x:c r="B3" s="49" t="str">
        <x:v>Siap</x:v>
      </x:c>
      <x:c r="C3" s="49" t="str">
        <x:v>MariaDB/MySQL reservasi_ruang</x:v>
      </x:c>
      <x:c r="D3" s="49" t="str">
        <x:v>Schema dan dummy data dikelola Flyway V1-V6.</x:v>
      </x:c>
    </x:row>
    <x:row r="4">
      <x:c r="A4" s="49" t="str">
        <x:v>Database test</x:v>
      </x:c>
      <x:c r="B4" s="49" t="str">
        <x:v>Siap</x:v>
      </x:c>
      <x:c r="C4" s="49" t="str">
        <x:v>H2 in-memory MODE=MySQL</x:v>
      </x:c>
      <x:c r="D4" s="49" t="str">
        <x:v>Dipakai untuk test otomatis cepat.</x:v>
      </x:c>
    </x:row>
    <x:row r="5">
      <x:c r="A5" s="49" t="str">
        <x:v>Login starter</x:v>
      </x:c>
      <x:c r="B5" s="49" t="str">
        <x:v>Siap</x:v>
      </x:c>
      <x:c r="C5" s="49" t="str">
        <x:v>mhs/mhs, adm/adm, stm/stm</x:v>
      </x:c>
      <x:c r="D5" s="49" t="str">
        <x:v>Password development awal.</x:v>
      </x:c>
    </x:row>
    <x:row r="6">
      <x:c r="A6" s="49" t="str">
        <x:v>Template mahasiswa</x:v>
      </x:c>
      <x:c r="B6" s="49" t="str">
        <x:v>Scaffold Ready</x:v>
      </x:c>
      <x:c r="C6" s="49" t="str">
        <x:v>templates/mahasiswa</x:v>
      </x:c>
      <x:c r="D6" s="49" t="str">
        <x:v>Dashboard aktif; halaman fitur tersedia sebagai placeholder.</x:v>
      </x:c>
    </x:row>
    <x:row r="7">
      <x:c r="A7" s="49" t="str">
        <x:v>Template admin</x:v>
      </x:c>
      <x:c r="B7" s="49" t="str">
        <x:v>Scaffold Ready</x:v>
      </x:c>
      <x:c r="C7" s="49" t="str">
        <x:v>templates/admin</x:v>
      </x:c>
      <x:c r="D7" s="49" t="str">
        <x:v>Dashboard aktif; halaman fitur tersedia sebagai placeholder.</x:v>
      </x:c>
    </x:row>
    <x:row r="8">
      <x:c r="A8" s="49" t="str">
        <x:v>Template satpam</x:v>
      </x:c>
      <x:c r="B8" s="49" t="str">
        <x:v>Scaffold Ready</x:v>
      </x:c>
      <x:c r="C8" s="49" t="str">
        <x:v>templates/satpam</x:v>
      </x:c>
      <x:c r="D8" s="49" t="str">
        <x:v>Dashboard aktif; halaman fitur tersedia sebagai placeholder.</x:v>
      </x:c>
    </x:row>
    <x:row r="9">
      <x:c r="A9" s="49" t="str">
        <x:v>Template bersama</x:v>
      </x:c>
      <x:c r="B9" s="49" t="str">
        <x:v>Scaffold Ready</x:v>
      </x:c>
      <x:c r="C9" s="49" t="str">
        <x:v>templates/login.html, error.html, fragments</x:v>
      </x:c>
      <x:c r="D9" s="49" t="str">
        <x:v>Login aktif; template shared lainnya placeholder.</x:v>
      </x:c>
    </x:row>
    <x:row r="10">
      <x:c r="A10" s="49" t="str">
        <x:v>Static frontend</x:v>
      </x:c>
      <x:c r="B10" s="49" t="str">
        <x:v>Scaffold Ready</x:v>
      </x:c>
      <x:c r="C10" s="49" t="str">
        <x:v>static/css dan static/js</x:v>
      </x:c>
      <x:c r="D10" s="49" t="str">
        <x:v>Slot CSS dan JavaScript per halaman tersedia.</x:v>
      </x:c>
    </x:row>
    <x:row r="11">
      <x:c r="A11" s="49" t="str">
        <x:v>Domain</x:v>
      </x:c>
      <x:c r="B11" s="49" t="str">
        <x:v>Scaffold Ready</x:v>
      </x:c>
      <x:c r="C11" s="49" t="str">
        <x:v>entity, enums, interface_</x:v>
      </x:c>
      <x:c r="D11" s="49" t="str">
        <x:v>Isi class sesuai diagram dan BLUEPRINT.txt.</x:v>
      </x:c>
    </x:row>
    <x:row r="12">
      <x:c r="A12" s="49" t="str">
        <x:v>Business layer</x:v>
      </x:c>
      <x:c r="B12" s="49" t="str">
        <x:v>Scaffold Ready</x:v>
      </x:c>
      <x:c r="C12" s="49" t="str">
        <x:v>repository, service</x:v>
      </x:c>
      <x:c r="D12" s="49" t="str">
        <x:v>Isi repository JDBC dan aturan bisnis.</x:v>
      </x:c>
    </x:row>
    <x:row r="13">
      <x:c r="A13" s="49" t="str">
        <x:v>Presentation layer</x:v>
      </x:c>
      <x:c r="B13" s="49" t="str">
        <x:v>Scaffold Ready</x:v>
      </x:c>
      <x:c r="C13" s="49" t="str">
        <x:v>controller/api, controller/web, dto</x:v>
      </x:c>
      <x:c r="D13" s="49" t="str">
        <x:v>Isi endpoint REST, MVC, dan validasi DTO.</x:v>
      </x:c>
    </x:row>
    <x:row r="14">
      <x:c r="A14" s="49" t="str">
        <x:v>Supporting layer</x:v>
      </x:c>
      <x:c r="B14" s="49" t="str">
        <x:v>Scaffold Ready</x:v>
      </x:c>
      <x:c r="C14" s="49" t="str">
        <x:v>auth, config, exception, util</x:v>
      </x:c>
      <x:c r="D14" s="49" t="str">
        <x:v>Login starter aktif; dukungan final dilengkapi owner.</x:v>
      </x:c>
    </x:row>
    <x:row r="15">
      <x:c r="A15" s="49" t="str">
        <x:v>Test</x:v>
      </x:c>
      <x:c r="B15" s="49" t="str">
        <x:v>Scaffold Ready</x:v>
      </x:c>
      <x:c r="C15" s="49" t="str">
        <x:v>src/test/java/com/tup/reservasi</x:v>
      </x:c>
      <x:c r="D15" s="49" t="str">
        <x:v>Isi slot test bersamaan dengan implementasi fitur.</x:v>
      </x:c>
    </x:row>
    <x:row r="16">
      <x:c r="A16" s="49" t="str">
        <x:v>Dokumentasi</x:v>
      </x:c>
      <x:c r="B16" s="49" t="str">
        <x:v>Siap</x:v>
      </x:c>
      <x:c r="C16" s="49" t="str">
        <x:v>README.md, STARTER_SCOPE.md, DEVELOPMENT_MAP.md</x:v>
      </x:c>
      <x:c r="D16" s="49" t="str">
        <x:v>Baca DEVELOPMENT_MAP.md sebelum mulai coding.</x:v>
      </x:c>
    </x:row>
    <x:row r="17">
      <x:c r="A17" s="49" t="str"/>
      <x:c r="B17" s="49" t="str"/>
      <x:c r="C17" s="49" t="str"/>
      <x:c r="D17" s="49" t="str"/>
    </x:row>
    <x:row r="18">
      <x:c r="A18" s="50" t="str">
        <x:v>ATURAN</x:v>
      </x:c>
      <x:c r="B18" s="50" t="str"/>
      <x:c r="C18" s="50" t="str"/>
      <x:c r="D18" s="50" t="str"/>
    </x:row>
    <x:row r="19">
      <x:c r="A19" s="49" t="str">
        <x:v>1</x:v>
      </x:c>
      <x:c r="B19" s="49" t="str">
        <x:v>Jangan edit migration Flyway V1-V6</x:v>
      </x:c>
      <x:c r="C19" s="49" t="str"/>
      <x:c r="D19" s="49" t="str">
        <x:v>Tambahkan V7 dan seterusnya untuk perubahan baru.</x:v>
      </x:c>
    </x:row>
    <x:row r="20">
      <x:c r="A20" s="49" t="str">
        <x:v>2</x:v>
      </x:c>
      <x:c r="B20" s="49" t="str">
        <x:v>Gunakan folder per-role untuk HTML</x:v>
      </x:c>
      <x:c r="C20" s="49" t="str"/>
      <x:c r="D20" s="49" t="str">
        <x:v>Template shared hanya login, error, dan fragments.</x:v>
      </x:c>
    </x:row>
    <x:row r="21">
      <x:c r="A21" s="49" t="str">
        <x:v>3</x:v>
      </x:c>
      <x:c r="B21" s="49" t="str">
        <x:v>Jangan ubah placeholder milik anggota lain tanpa koordinasi</x:v>
      </x:c>
      <x:c r="C21" s="49" t="str"/>
      <x:c r="D21" s="49" t="str">
        <x:v>Kolaborator tercantum pada komentar file.</x:v>
      </x:c>
    </x:row>
    <x:row r="22">
      <x:c r="A22" s="49" t="str">
        <x:v>4</x:v>
      </x:c>
      <x:c r="B22" s="49" t="str">
        <x:v>Status To Do berarti scaffold tersedia, fitur belum diimplementasikan</x:v>
      </x:c>
      <x:c r="C22" s="49" t="str"/>
      <x:c r="D22" s="49" t="str">
        <x:v>Ubah status setelah implementasi dan test selesai.</x:v>
      </x:c>
    </x:row>
  </x:sheetData>
  <x:mergeCells>
    <x:mergeCell ref="A1:D1"/>
  </x:mergeCells>
  <x:pageMargins left="0.7" right="0.7" top="0.75" bottom="0.75" header="0.3" footer="0.3"/>
</x:worksheet>
</file>